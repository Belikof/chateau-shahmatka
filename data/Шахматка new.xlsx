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 1" sheetId="1" state="visible" r:id="rId1"/>
    <sheet xmlns:r="http://schemas.openxmlformats.org/officeDocument/2006/relationships" name="Ген. план" sheetId="2" state="visible" r:id="rId2"/>
    <sheet xmlns:r="http://schemas.openxmlformats.org/officeDocument/2006/relationships" name="Каталог" sheetId="3" state="visible" r:id="rId3"/>
    <sheet xmlns:r="http://schemas.openxmlformats.org/officeDocument/2006/relationships" name="Прайс" sheetId="4" state="hidden" r:id="rId4"/>
    <sheet xmlns:r="http://schemas.openxmlformats.org/officeDocument/2006/relationships" name="Данные участки" sheetId="5" state="hidden" r:id="rId5"/>
    <sheet xmlns:r="http://schemas.openxmlformats.org/officeDocument/2006/relationships" name="Данные SPACE" sheetId="6" state="visible" r:id="rId6"/>
    <sheet xmlns:r="http://schemas.openxmlformats.org/officeDocument/2006/relationships" name="Как пользоваться" sheetId="7" state="hidden" r:id="rId7"/>
    <sheet xmlns:r="http://schemas.openxmlformats.org/officeDocument/2006/relationships" name="Шахматка SPACE" sheetId="8" state="hidden" r:id="rId8"/>
    <sheet xmlns:r="http://schemas.openxmlformats.org/officeDocument/2006/relationships" name="Шахматка участков" sheetId="9" state="hidden" r:id="rId9"/>
  </sheets>
  <definedNames>
    <definedName name="_xlnm._FilterDatabase" localSheetId="2" hidden="1">'Каталог'!$A$1:$G$1</definedName>
    <definedName name="_xlnm._FilterDatabase" localSheetId="4" hidden="1">'Данные участки'!$A$1:$N$1</definedName>
    <definedName name="_xlnm._FilterDatabase" localSheetId="5" hidden="1">'Данные SPACE'!$A$1:$H$1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[$р.-419]#,##0"/>
    <numFmt numFmtId="166" formatCode="#,##0.00;(#,##0.00)"/>
  </numFmts>
  <fonts count="26">
    <font>
      <name val="Arial"/>
      <color rgb="FF000000"/>
      <sz val="10"/>
      <scheme val="minor"/>
    </font>
    <font>
      <name val="Arial"/>
      <b val="1"/>
      <color theme="1"/>
      <sz val="12"/>
    </font>
    <font/>
    <font>
      <name val="Arial"/>
      <color theme="1"/>
      <scheme val="minor"/>
    </font>
    <font>
      <name val="Arial"/>
      <b val="1"/>
      <color theme="1"/>
      <sz val="21"/>
    </font>
    <font>
      <name val="Arial"/>
      <b val="1"/>
      <color theme="1"/>
      <sz val="14"/>
    </font>
    <font>
      <name val="Arial"/>
      <color theme="1"/>
    </font>
    <font>
      <name val="Montserrat"/>
      <b val="1"/>
      <color rgb="FFBF9000"/>
      <sz val="46"/>
    </font>
    <font>
      <name val="Arial"/>
      <color theme="1"/>
      <sz val="11"/>
    </font>
    <font>
      <name val="Arial"/>
      <color rgb="FF000000"/>
      <sz val="10"/>
    </font>
    <font>
      <name val="Arial"/>
      <b val="1"/>
      <color rgb="FFFFFFFF"/>
      <sz val="11"/>
      <scheme val="minor"/>
    </font>
    <font>
      <name val="Arial"/>
      <b val="1"/>
      <color theme="1"/>
      <scheme val="minor"/>
    </font>
    <font>
      <name val="Arial"/>
      <b val="1"/>
      <color theme="1"/>
      <sz val="12"/>
      <scheme val="minor"/>
    </font>
    <font>
      <name val="Arial"/>
      <color theme="1"/>
      <sz val="11"/>
      <scheme val="minor"/>
    </font>
    <font>
      <name val="Arial"/>
      <color theme="1"/>
      <sz val="7"/>
    </font>
    <font>
      <name val="Aclonica"/>
      <b val="1"/>
      <color rgb="FFBF9000"/>
      <sz val="46"/>
    </font>
    <font>
      <name val="Times New Roman"/>
      <b val="1"/>
      <color theme="1"/>
      <sz val="13"/>
    </font>
    <font>
      <name val="Arial"/>
      <b val="1"/>
      <color theme="1"/>
    </font>
    <font>
      <name val="Arial"/>
      <b val="1"/>
      <color theme="1"/>
      <sz val="11"/>
    </font>
    <font>
      <name val="Times New Roman"/>
      <color theme="1"/>
    </font>
    <font>
      <name val="Impact"/>
      <color rgb="FF980000"/>
      <sz val="13"/>
    </font>
    <font>
      <name val="Times New Roman"/>
      <b val="1"/>
      <color theme="1"/>
      <sz val="11"/>
    </font>
    <font>
      <name val="Arial"/>
      <b val="1"/>
      <color theme="1"/>
      <sz val="10"/>
    </font>
    <font>
      <name val="Verdana"/>
      <b val="1"/>
      <color theme="1"/>
      <sz val="9"/>
    </font>
    <font>
      <name val="Impact"/>
      <color rgb="FFFF9900"/>
      <sz val="13"/>
    </font>
    <font>
      <name val="Arial"/>
      <b val="1"/>
      <color theme="1"/>
      <sz val="17"/>
    </font>
  </fonts>
  <fills count="18">
    <fill>
      <patternFill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</fills>
  <borders count="36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4" fillId="5" borderId="3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/>
    </xf>
    <xf numFmtId="0" fontId="2" fillId="0" borderId="7" pivotButton="0" quotePrefix="0" xfId="0"/>
    <xf numFmtId="0" fontId="6" fillId="5" borderId="1" pivotButton="0" quotePrefix="0" xfId="0"/>
    <xf numFmtId="0" fontId="6" fillId="5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5" fillId="7" borderId="12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1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7" borderId="18" applyAlignment="1" pivotButton="0" quotePrefix="0" xfId="0">
      <alignment horizontal="center" vertical="center"/>
    </xf>
    <xf numFmtId="0" fontId="2" fillId="0" borderId="19" pivotButton="0" quotePrefix="0" xfId="0"/>
    <xf numFmtId="0" fontId="5" fillId="7" borderId="0" applyAlignment="1" pivotButton="0" quotePrefix="0" xfId="0">
      <alignment horizontal="center" vertical="center"/>
    </xf>
    <xf numFmtId="0" fontId="6" fillId="5" borderId="2" pivotButton="0" quotePrefix="0" xfId="0"/>
    <xf numFmtId="0" fontId="5" fillId="7" borderId="19" applyAlignment="1" pivotButton="0" quotePrefix="0" xfId="0">
      <alignment horizontal="center" vertical="center"/>
    </xf>
    <xf numFmtId="0" fontId="5" fillId="9" borderId="16" applyAlignment="1" pivotButton="0" quotePrefix="0" xfId="0">
      <alignment horizontal="center" vertical="center"/>
    </xf>
    <xf numFmtId="0" fontId="5" fillId="9" borderId="11" applyAlignment="1" pivotButton="0" quotePrefix="0" xfId="0">
      <alignment horizontal="center" vertical="center"/>
    </xf>
    <xf numFmtId="0" fontId="5" fillId="8" borderId="11" applyAlignment="1" pivotButton="0" quotePrefix="0" xfId="0">
      <alignment horizontal="center" vertical="center"/>
    </xf>
    <xf numFmtId="0" fontId="6" fillId="5" borderId="7" pivotButton="0" quotePrefix="0" xfId="0"/>
    <xf numFmtId="0" fontId="2" fillId="0" borderId="20" pivotButton="0" quotePrefix="0" xfId="0"/>
    <xf numFmtId="0" fontId="5" fillId="9" borderId="21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7" borderId="22" applyAlignment="1" pivotButton="0" quotePrefix="0" xfId="0">
      <alignment horizontal="center" vertical="center"/>
    </xf>
    <xf numFmtId="0" fontId="6" fillId="8" borderId="11" pivotButton="0" quotePrefix="0" xfId="0"/>
    <xf numFmtId="0" fontId="6" fillId="8" borderId="19" pivotButton="0" quotePrefix="0" xfId="0"/>
    <xf numFmtId="0" fontId="6" fillId="8" borderId="18" applyAlignment="1" pivotButton="0" quotePrefix="0" xfId="0">
      <alignment vertical="bottom"/>
    </xf>
    <xf numFmtId="0" fontId="6" fillId="8" borderId="18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bottom"/>
    </xf>
    <xf numFmtId="0" fontId="2" fillId="0" borderId="23" pivotButton="0" quotePrefix="0" xfId="0"/>
    <xf numFmtId="0" fontId="7" fillId="10" borderId="1" applyAlignment="1" pivotButton="0" quotePrefix="0" xfId="0">
      <alignment horizontal="center" vertical="bottom"/>
    </xf>
    <xf numFmtId="0" fontId="7" fillId="10" borderId="7" applyAlignment="1" pivotButton="0" quotePrefix="0" xfId="0">
      <alignment horizontal="center" vertical="bottom"/>
    </xf>
    <xf numFmtId="0" fontId="7" fillId="10" borderId="2" applyAlignment="1" pivotButton="0" quotePrefix="0" xfId="0">
      <alignment horizontal="center" vertical="bottom"/>
    </xf>
    <xf numFmtId="0" fontId="6" fillId="0" borderId="24" pivotButton="0" quotePrefix="0" xfId="0"/>
    <xf numFmtId="0" fontId="7" fillId="10" borderId="0" applyAlignment="1" pivotButton="0" quotePrefix="0" xfId="0">
      <alignment horizontal="center" vertical="bottom"/>
    </xf>
    <xf numFmtId="0" fontId="7" fillId="10" borderId="4" applyAlignment="1" pivotButton="0" quotePrefix="0" xfId="0">
      <alignment horizontal="center" vertical="bottom"/>
    </xf>
    <xf numFmtId="0" fontId="7" fillId="10" borderId="5" applyAlignment="1" pivotButton="0" quotePrefix="0" xfId="0">
      <alignment horizontal="center" vertical="bottom"/>
    </xf>
    <xf numFmtId="0" fontId="7" fillId="10" borderId="10" applyAlignment="1" pivotButton="0" quotePrefix="0" xfId="0">
      <alignment horizontal="center" vertical="bottom"/>
    </xf>
    <xf numFmtId="0" fontId="7" fillId="10" borderId="6" applyAlignment="1" pivotButton="0" quotePrefix="0" xfId="0">
      <alignment horizontal="center" vertical="bottom"/>
    </xf>
    <xf numFmtId="0" fontId="6" fillId="0" borderId="8" pivotButton="0" quotePrefix="0" xfId="0"/>
    <xf numFmtId="0" fontId="6" fillId="11" borderId="1" applyAlignment="1" pivotButton="0" quotePrefix="0" xfId="0">
      <alignment horizontal="center"/>
    </xf>
    <xf numFmtId="0" fontId="6" fillId="0" borderId="1" pivotButton="0" quotePrefix="0" xfId="0"/>
    <xf numFmtId="0" fontId="6" fillId="12" borderId="15" pivotButton="0" quotePrefix="0" xfId="0"/>
    <xf numFmtId="0" fontId="6" fillId="0" borderId="6" pivotButton="0" quotePrefix="0" xfId="0"/>
    <xf numFmtId="0" fontId="6" fillId="0" borderId="23" pivotButton="0" quotePrefix="0" xfId="0"/>
    <xf numFmtId="0" fontId="6" fillId="4" borderId="8" pivotButton="0" quotePrefix="0" xfId="0"/>
    <xf numFmtId="0" fontId="6" fillId="0" borderId="25" pivotButton="0" quotePrefix="0" xfId="0"/>
    <xf numFmtId="0" fontId="6" fillId="0" borderId="2" pivotButton="0" quotePrefix="0" xfId="0"/>
    <xf numFmtId="0" fontId="6" fillId="0" borderId="4" pivotButton="0" quotePrefix="0" xfId="0"/>
    <xf numFmtId="0" fontId="6" fillId="0" borderId="9" pivotButton="0" quotePrefix="0" xfId="0"/>
    <xf numFmtId="0" fontId="6" fillId="10" borderId="1" pivotButton="0" quotePrefix="0" xfId="0"/>
    <xf numFmtId="0" fontId="6" fillId="10" borderId="25" pivotButton="0" quotePrefix="0" xfId="0"/>
    <xf numFmtId="0" fontId="6" fillId="10" borderId="2" pivotButton="0" quotePrefix="0" xfId="0"/>
    <xf numFmtId="0" fontId="6" fillId="10" borderId="8" pivotButton="0" quotePrefix="0" xfId="0"/>
    <xf numFmtId="0" fontId="6" fillId="10" borderId="24" pivotButton="0" quotePrefix="0" xfId="0"/>
    <xf numFmtId="0" fontId="6" fillId="2" borderId="13" pivotButton="0" quotePrefix="0" xfId="0"/>
    <xf numFmtId="0" fontId="8" fillId="8" borderId="13" pivotButton="0" quotePrefix="0" xfId="0"/>
    <xf numFmtId="0" fontId="6" fillId="8" borderId="13" pivotButton="0" quotePrefix="0" xfId="0"/>
    <xf numFmtId="0" fontId="6" fillId="10" borderId="26" pivotButton="0" quotePrefix="0" xfId="0"/>
    <xf numFmtId="0" fontId="6" fillId="10" borderId="27" pivotButton="0" quotePrefix="0" xfId="0"/>
    <xf numFmtId="0" fontId="6" fillId="0" borderId="27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6" fillId="0" borderId="3" pivotButton="0" quotePrefix="0" xfId="0"/>
    <xf numFmtId="0" fontId="6" fillId="9" borderId="1" pivotButton="0" quotePrefix="0" xfId="0"/>
    <xf numFmtId="0" fontId="6" fillId="10" borderId="1" pivotButton="0" quotePrefix="0" xfId="0"/>
    <xf numFmtId="0" fontId="6" fillId="0" borderId="26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0" borderId="24" pivotButton="0" quotePrefix="0" xfId="0"/>
    <xf numFmtId="0" fontId="3" fillId="13" borderId="0" pivotButton="0" quotePrefix="0" xfId="0"/>
    <xf numFmtId="0" fontId="6" fillId="10" borderId="9" pivotButton="0" quotePrefix="0" xfId="0"/>
    <xf numFmtId="0" fontId="9" fillId="0" borderId="0" pivotButton="0" quotePrefix="0" xfId="0"/>
    <xf numFmtId="0" fontId="10" fillId="14" borderId="28" applyAlignment="1" pivotButton="0" quotePrefix="0" xfId="0">
      <alignment horizontal="center" vertical="center" wrapText="1"/>
    </xf>
    <xf numFmtId="0" fontId="9" fillId="0" borderId="28" pivotButton="0" quotePrefix="0" xfId="0"/>
    <xf numFmtId="164" fontId="9" fillId="0" borderId="28" pivotButton="0" quotePrefix="0" xfId="0"/>
    <xf numFmtId="0" fontId="11" fillId="0" borderId="0" pivotButton="0" quotePrefix="0" xfId="0"/>
    <xf numFmtId="0" fontId="3" fillId="0" borderId="0" pivotButton="0" quotePrefix="0" xfId="0"/>
    <xf numFmtId="0" fontId="10" fillId="14" borderId="28" pivotButton="0" quotePrefix="0" xfId="0"/>
    <xf numFmtId="164" fontId="9" fillId="0" borderId="28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0" borderId="0" applyAlignment="1" pivotButton="0" quotePrefix="0" xfId="0">
      <alignment horizontal="center" vertical="center"/>
    </xf>
    <xf numFmtId="0" fontId="6" fillId="10" borderId="0" pivotButton="0" quotePrefix="0" xfId="0"/>
    <xf numFmtId="0" fontId="16" fillId="15" borderId="0" applyAlignment="1" pivotButton="0" quotePrefix="0" xfId="0">
      <alignment horizontal="center" vertical="center"/>
    </xf>
    <xf numFmtId="0" fontId="16" fillId="16" borderId="0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17" fillId="16" borderId="29" applyAlignment="1" pivotButton="0" quotePrefix="0" xfId="0">
      <alignment vertical="center"/>
    </xf>
    <xf numFmtId="0" fontId="17" fillId="16" borderId="30" applyAlignment="1" pivotButton="0" quotePrefix="0" xfId="0">
      <alignment horizontal="center" vertical="center"/>
    </xf>
    <xf numFmtId="0" fontId="18" fillId="16" borderId="29" applyAlignment="1" pivotButton="0" quotePrefix="0" xfId="0">
      <alignment vertical="center"/>
    </xf>
    <xf numFmtId="0" fontId="18" fillId="15" borderId="29" applyAlignment="1" pivotButton="0" quotePrefix="0" xfId="0">
      <alignment vertical="center"/>
    </xf>
    <xf numFmtId="0" fontId="17" fillId="15" borderId="30" applyAlignment="1" pivotButton="0" quotePrefix="0" xfId="0">
      <alignment horizontal="center" vertical="center"/>
    </xf>
    <xf numFmtId="0" fontId="18" fillId="17" borderId="29" applyAlignment="1" pivotButton="0" quotePrefix="0" xfId="0">
      <alignment vertical="center"/>
    </xf>
    <xf numFmtId="0" fontId="17" fillId="17" borderId="30" applyAlignment="1" pivotButton="0" quotePrefix="0" xfId="0">
      <alignment horizontal="center" vertical="center"/>
    </xf>
    <xf numFmtId="0" fontId="6" fillId="10" borderId="0" applyAlignment="1" pivotButton="0" quotePrefix="0" xfId="0">
      <alignment vertical="center"/>
    </xf>
    <xf numFmtId="0" fontId="19" fillId="0" borderId="31" applyAlignment="1" pivotButton="0" quotePrefix="0" xfId="0">
      <alignment vertical="center"/>
    </xf>
    <xf numFmtId="0" fontId="20" fillId="0" borderId="32" applyAlignment="1" pivotButton="0" quotePrefix="0" xfId="0">
      <alignment horizontal="center" vertical="center"/>
    </xf>
    <xf numFmtId="0" fontId="21" fillId="0" borderId="31" applyAlignment="1" pivotButton="0" quotePrefix="0" xfId="0">
      <alignment vertical="center"/>
    </xf>
    <xf numFmtId="165" fontId="5" fillId="0" borderId="32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1" fillId="0" borderId="33" applyAlignment="1" pivotButton="0" quotePrefix="0" xfId="0">
      <alignment vertical="center"/>
    </xf>
    <xf numFmtId="0" fontId="8" fillId="0" borderId="34" applyAlignment="1" pivotButton="0" quotePrefix="0" xfId="0">
      <alignment horizontal="center" vertical="center"/>
    </xf>
    <xf numFmtId="0" fontId="22" fillId="1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vertical="center"/>
    </xf>
    <xf numFmtId="166" fontId="23" fillId="10" borderId="0" applyAlignment="1" pivotButton="0" quotePrefix="0" xfId="0">
      <alignment horizontal="center" vertical="center"/>
    </xf>
    <xf numFmtId="0" fontId="18" fillId="16" borderId="30" applyAlignment="1" pivotButton="0" quotePrefix="0" xfId="0">
      <alignment horizontal="center" vertical="center"/>
    </xf>
    <xf numFmtId="166" fontId="21" fillId="0" borderId="33" applyAlignment="1" pivotButton="0" quotePrefix="0" xfId="0">
      <alignment vertical="center"/>
    </xf>
    <xf numFmtId="166" fontId="8" fillId="0" borderId="34" applyAlignment="1" pivotButton="0" quotePrefix="0" xfId="0">
      <alignment horizontal="center" vertical="center"/>
    </xf>
    <xf numFmtId="0" fontId="18" fillId="10" borderId="0" applyAlignment="1" pivotButton="0" quotePrefix="0" xfId="0">
      <alignment vertical="center"/>
    </xf>
    <xf numFmtId="0" fontId="17" fillId="1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10" borderId="0" applyAlignment="1" pivotButton="0" quotePrefix="0" xfId="0">
      <alignment horizontal="center" vertical="center"/>
    </xf>
    <xf numFmtId="166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vertical="center"/>
    </xf>
    <xf numFmtId="0" fontId="7" fillId="10" borderId="1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center"/>
    </xf>
    <xf numFmtId="0" fontId="2" fillId="0" borderId="22" pivotButton="0" quotePrefix="0" xfId="0"/>
    <xf numFmtId="0" fontId="17" fillId="16" borderId="24" applyAlignment="1" pivotButton="0" quotePrefix="0" xfId="0">
      <alignment vertical="center"/>
    </xf>
    <xf numFmtId="0" fontId="17" fillId="16" borderId="24" applyAlignment="1" pivotButton="0" quotePrefix="0" xfId="0">
      <alignment horizontal="center" vertical="center"/>
    </xf>
    <xf numFmtId="0" fontId="19" fillId="0" borderId="24" applyAlignment="1" pivotButton="0" quotePrefix="0" xfId="0">
      <alignment vertical="center"/>
    </xf>
    <xf numFmtId="0" fontId="20" fillId="0" borderId="24" applyAlignment="1" pivotButton="0" quotePrefix="0" xfId="0">
      <alignment horizontal="center" vertical="center"/>
    </xf>
    <xf numFmtId="0" fontId="21" fillId="0" borderId="24" applyAlignment="1" pivotButton="0" quotePrefix="0" xfId="0">
      <alignment vertical="center"/>
    </xf>
    <xf numFmtId="0" fontId="8" fillId="0" borderId="24" applyAlignment="1" pivotButton="0" quotePrefix="0" xfId="0">
      <alignment horizontal="center" vertical="center"/>
    </xf>
    <xf numFmtId="0" fontId="25" fillId="11" borderId="14" applyAlignment="1" pivotButton="0" quotePrefix="0" xfId="0">
      <alignment textRotation="255"/>
    </xf>
    <xf numFmtId="0" fontId="2" fillId="0" borderId="18" pivotButton="0" quotePrefix="0" xfId="0"/>
    <xf numFmtId="0" fontId="17" fillId="16" borderId="26" applyAlignment="1" pivotButton="0" quotePrefix="0" xfId="0">
      <alignment horizontal="center" vertical="center"/>
    </xf>
    <xf numFmtId="0" fontId="20" fillId="0" borderId="26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21" fillId="0" borderId="8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7" fillId="16" borderId="23" applyAlignment="1" pivotButton="0" quotePrefix="0" xfId="0">
      <alignment vertical="center"/>
    </xf>
    <xf numFmtId="0" fontId="17" fillId="16" borderId="23" applyAlignment="1" pivotButton="0" quotePrefix="0" xfId="0">
      <alignment horizontal="center" vertical="center"/>
    </xf>
    <xf numFmtId="0" fontId="17" fillId="16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24" applyAlignment="1" pivotButton="0" quotePrefix="0" xfId="0">
      <alignment horizontal="center" vertical="center" wrapText="1"/>
    </xf>
    <xf numFmtId="0" fontId="1" fillId="4" borderId="2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5" borderId="23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 textRotation="90"/>
    </xf>
    <xf numFmtId="0" fontId="4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6" fillId="5" borderId="24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6" borderId="15" applyAlignment="1" pivotButton="0" quotePrefix="0" xfId="0">
      <alignment horizontal="center" vertical="center"/>
    </xf>
    <xf numFmtId="0" fontId="5" fillId="6" borderId="21" applyAlignment="1" pivotButton="0" quotePrefix="0" xfId="0">
      <alignment horizontal="center" vertical="center"/>
    </xf>
    <xf numFmtId="0" fontId="5" fillId="6" borderId="25" applyAlignment="1" pivotButton="0" quotePrefix="0" xfId="0">
      <alignment horizontal="center" vertical="center"/>
    </xf>
    <xf numFmtId="0" fontId="0" fillId="0" borderId="12" pivotButton="0" quotePrefix="0" xfId="0"/>
    <xf numFmtId="0" fontId="5" fillId="6" borderId="3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7" borderId="21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/>
    </xf>
    <xf numFmtId="0" fontId="5" fillId="8" borderId="25" applyAlignment="1" pivotButton="0" quotePrefix="0" xfId="0">
      <alignment horizontal="center" vertical="center"/>
    </xf>
    <xf numFmtId="0" fontId="5" fillId="5" borderId="2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0" fillId="0" borderId="19" pivotButton="0" quotePrefix="0" xfId="0"/>
    <xf numFmtId="0" fontId="5" fillId="7" borderId="16" applyAlignment="1" pivotButton="0" quotePrefix="0" xfId="0">
      <alignment horizontal="center" vertical="center"/>
    </xf>
    <xf numFmtId="0" fontId="6" fillId="5" borderId="27" pivotButton="0" quotePrefix="0" xfId="0"/>
    <xf numFmtId="0" fontId="5" fillId="9" borderId="15" applyAlignment="1" pivotButton="0" quotePrefix="0" xfId="0">
      <alignment horizontal="center" vertical="center"/>
    </xf>
    <xf numFmtId="0" fontId="5" fillId="8" borderId="15" applyAlignment="1" pivotButton="0" quotePrefix="0" xfId="0">
      <alignment horizontal="center" vertical="center"/>
    </xf>
    <xf numFmtId="0" fontId="0" fillId="0" borderId="20" pivotButton="0" quotePrefix="0" xfId="0"/>
    <xf numFmtId="0" fontId="5" fillId="3" borderId="25" applyAlignment="1" pivotButton="0" quotePrefix="0" xfId="0">
      <alignment horizontal="center" vertical="center"/>
    </xf>
    <xf numFmtId="0" fontId="6" fillId="8" borderId="15" pivotButton="0" quotePrefix="0" xfId="0"/>
    <xf numFmtId="0" fontId="6" fillId="8" borderId="16" pivotButton="0" quotePrefix="0" xfId="0"/>
    <xf numFmtId="0" fontId="6" fillId="8" borderId="17" applyAlignment="1" pivotButton="0" quotePrefix="0" xfId="0">
      <alignment vertical="bottom"/>
    </xf>
    <xf numFmtId="0" fontId="6" fillId="8" borderId="17" pivotButton="0" quotePrefix="0" xfId="0"/>
    <xf numFmtId="0" fontId="0" fillId="0" borderId="23" pivotButton="0" quotePrefix="0" xfId="0"/>
    <xf numFmtId="0" fontId="6" fillId="11" borderId="24" applyAlignment="1" pivotButton="0" quotePrefix="0" xfId="0">
      <alignment horizontal="center"/>
    </xf>
    <xf numFmtId="0" fontId="6" fillId="4" borderId="24" pivotButton="0" quotePrefix="0" xfId="0"/>
    <xf numFmtId="0" fontId="6" fillId="0" borderId="28" applyAlignment="1" pivotButton="0" quotePrefix="0" xfId="0">
      <alignment horizontal="center" vertical="center"/>
    </xf>
    <xf numFmtId="0" fontId="6" fillId="10" borderId="28" applyAlignment="1" pivotButton="0" quotePrefix="0" xfId="0">
      <alignment horizontal="center" vertical="center"/>
    </xf>
    <xf numFmtId="0" fontId="6" fillId="2" borderId="25" pivotButton="0" quotePrefix="0" xfId="0"/>
    <xf numFmtId="0" fontId="8" fillId="8" borderId="25" pivotButton="0" quotePrefix="0" xfId="0"/>
    <xf numFmtId="0" fontId="6" fillId="8" borderId="25" pivotButton="0" quotePrefix="0" xfId="0"/>
    <xf numFmtId="0" fontId="1" fillId="11" borderId="24" applyAlignment="1" pivotButton="0" quotePrefix="0" xfId="0">
      <alignment horizontal="center" vertical="center" wrapText="1"/>
    </xf>
    <xf numFmtId="0" fontId="6" fillId="10" borderId="27" applyAlignment="1" pivotButton="0" quotePrefix="0" xfId="0">
      <alignment horizontal="center" vertical="center" wrapText="1"/>
    </xf>
    <xf numFmtId="0" fontId="1" fillId="7" borderId="24" applyAlignment="1" pivotButton="0" quotePrefix="0" xfId="0">
      <alignment horizontal="center" vertical="center" wrapText="1"/>
    </xf>
    <xf numFmtId="0" fontId="1" fillId="9" borderId="24" applyAlignment="1" pivotButton="0" quotePrefix="0" xfId="0">
      <alignment horizontal="center" vertical="center" wrapText="1"/>
    </xf>
    <xf numFmtId="0" fontId="6" fillId="0" borderId="5" pivotButton="0" quotePrefix="0" xfId="0"/>
    <xf numFmtId="0" fontId="6" fillId="9" borderId="26" pivotButton="0" quotePrefix="0" xfId="0"/>
    <xf numFmtId="0" fontId="6" fillId="10" borderId="24" applyAlignment="1" pivotButton="0" quotePrefix="0" xfId="0">
      <alignment horizontal="center" vertical="center" wrapText="1"/>
    </xf>
    <xf numFmtId="0" fontId="3" fillId="13" borderId="6" pivotButton="0" quotePrefix="0" xfId="0"/>
    <xf numFmtId="0" fontId="0" fillId="0" borderId="28" applyAlignment="1" pivotButton="0" quotePrefix="0" xfId="0">
      <alignment horizontal="center" vertical="center"/>
    </xf>
    <xf numFmtId="0" fontId="7" fillId="10" borderId="24" applyAlignment="1" pivotButton="0" quotePrefix="0" xfId="0">
      <alignment horizontal="center" vertical="bottom"/>
    </xf>
    <xf numFmtId="0" fontId="4" fillId="0" borderId="25" applyAlignment="1" pivotButton="0" quotePrefix="0" xfId="0">
      <alignment horizontal="center" vertical="center"/>
    </xf>
    <xf numFmtId="0" fontId="0" fillId="0" borderId="22" pivotButton="0" quotePrefix="0" xfId="0"/>
    <xf numFmtId="0" fontId="25" fillId="11" borderId="25" applyAlignment="1" pivotButton="0" quotePrefix="0" xfId="0">
      <alignment textRotation="255"/>
    </xf>
    <xf numFmtId="0" fontId="0" fillId="0" borderId="1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A11" authorId="0" shapeId="0">
      <text>
        <t>Участок № 1642
Айвазовского | 699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4 473 600 ₽
Надбавка к дому: +699 000 ₽</t>
      </text>
    </comment>
    <comment ref="B11" authorId="0" shapeId="0">
      <text>
        <t>Участок № 1650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1" authorId="0" shapeId="0">
      <text>
        <t>Участок № 1651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1" authorId="0" shapeId="0">
      <text>
        <t>Участок № 1652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1" authorId="0" shapeId="0">
      <text>
        <t>Участок № 1653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1" authorId="0" shapeId="0">
      <text>
        <t>Участок № 1654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G11" authorId="0" shapeId="0">
      <text>
        <t>Участок № 1655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H11" authorId="0" shapeId="0">
      <text>
        <t>Участок № 1656
Айвазовского | 781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4 998 400 ₽
Надбавка к дому: +781 000 ₽</t>
      </text>
    </comment>
    <comment ref="K11" authorId="0" shapeId="0">
      <text>
        <t>Участок № 1538
Айвазовского | 700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4 480 000 ₽
Надбавка к дому: +700 000 ₽</t>
      </text>
    </comment>
    <comment ref="L11" authorId="0" shapeId="0">
      <text>
        <t>Участок № 1546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M11" authorId="0" shapeId="0">
      <text>
        <t>Участок № 1547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1" authorId="0" shapeId="0">
      <text>
        <t>Участок № 1548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1" authorId="0" shapeId="0">
      <text>
        <t>Участок № 1549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1" authorId="0" shapeId="0">
      <text>
        <t>Участок № 1550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1" authorId="0" shapeId="0">
      <text>
        <t>Участок № 1551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1" authorId="0" shapeId="0">
      <text>
        <t>Участок № 1552
Айвазовского | 783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5 011 200 ₽
Надбавка к дому: +783 000 ₽</t>
      </text>
    </comment>
    <comment ref="V11" authorId="0" shapeId="0">
      <text>
        <t>Участок № 1590
Айвазовского | 675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4 320 000 ₽
Надбавка к дому: +675 000 ₽</t>
      </text>
    </comment>
    <comment ref="W11" authorId="0" shapeId="0">
      <text>
        <t>Участок № 1600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11" authorId="0" shapeId="0">
      <text>
        <t>Участок № 1601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11" authorId="0" shapeId="0">
      <text>
        <t>Участок № 1602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11" authorId="0" shapeId="0">
      <text>
        <t>Участок № 1603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11" authorId="0" shapeId="0">
      <text>
        <t>Участок № 1604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11" authorId="0" shapeId="0">
      <text>
        <t>Участок № 1605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11" authorId="0" shapeId="0">
      <text>
        <t>Участок № 1606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D11" authorId="0" shapeId="0">
      <text>
        <t>Участок № 1607
Айвазовского | 675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4 320 000 ₽
Надбавка к дому: +675 000 ₽</t>
      </text>
    </comment>
    <comment ref="AF11" authorId="0" shapeId="0">
      <text>
        <t>Участок № 1572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G11" authorId="0" shapeId="0">
      <text>
        <t>Участок № 1582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11" authorId="0" shapeId="0">
      <text>
        <t>Участок № 1583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11" authorId="0" shapeId="0">
      <text>
        <t>Участок № 1584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11" authorId="0" shapeId="0">
      <text>
        <t>Участок № 1585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11" authorId="0" shapeId="0">
      <text>
        <t>Участок № 1586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11" authorId="0" shapeId="0">
      <text>
        <t>Участок № 1587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M11" authorId="0" shapeId="0">
      <text>
        <t>Участок № 1588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N11" authorId="0" shapeId="0">
      <text>
        <t>Участок № 1589
Айвазовского | 717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4 588 800 ₽
Надбавка к дому: +717 000 ₽</t>
      </text>
    </comment>
    <comment ref="A13" authorId="0" shapeId="0">
      <text>
        <t>Участок № 1649
Айвазовского | 699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4 473 600 ₽
Надбавка к дому: +699 000 ₽</t>
      </text>
    </comment>
    <comment ref="B13" authorId="0" shapeId="0">
      <text>
        <t>Участок № 1648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3" authorId="0" shapeId="0">
      <text>
        <t>Участок № 1647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3" authorId="0" shapeId="0">
      <text>
        <t>Участок № 1646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3" authorId="0" shapeId="0">
      <text>
        <t>Участок № 1645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3" authorId="0" shapeId="0">
      <text>
        <t>Участок № 1644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13" authorId="0" shapeId="0">
      <text>
        <t>Участок № 1643
Айвазовского | 500 м² (±5 м²)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H13" authorId="0" shapeId="0">
      <text>
        <t>Участок № 1657
Айвазовского | 773 м² (±5 м²)
Вид: Виноградники / лиман / вулканы
Зона: 1 ф ВЛВ / 2 ф 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4 947 200 ₽
Надбавка к дому: +773 000 ₽</t>
      </text>
    </comment>
    <comment ref="K13" authorId="0" shapeId="0">
      <text>
        <t>Участок № 1545
Айвазовского | 700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4 480 000 ₽
Надбавка к дому: +700 000 ₽</t>
      </text>
    </comment>
    <comment ref="L13" authorId="0" shapeId="0">
      <text>
        <t>Участок № 1544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M13" authorId="0" shapeId="0">
      <text>
        <t>Участок № 1543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3" authorId="0" shapeId="0">
      <text>
        <t>Участок № 1542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3" authorId="0" shapeId="0">
      <text>
        <t>Участок № 1541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3" authorId="0" shapeId="0">
      <text>
        <t>Участок № 1540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3" authorId="0" shapeId="0">
      <text>
        <t>Участок № 1539
Айвазовского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3" authorId="0" shapeId="0">
      <text>
        <t>Участок № 1553
Айвазовского | 783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5 011 200 ₽
Надбавка к дому: +783 000 ₽</t>
      </text>
    </comment>
    <comment ref="V13" authorId="0" shapeId="0">
      <text>
        <t>Участок № 1599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W13" authorId="0" shapeId="0">
      <text>
        <t>Участок № 1598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X13" authorId="0" shapeId="0">
      <text>
        <t>Участок № 1597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Y13" authorId="0" shapeId="0">
      <text>
        <t>Участок № 1596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Z13" authorId="0" shapeId="0">
      <text>
        <t>Участок № 1595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A13" authorId="0" shapeId="0">
      <text>
        <t>Участок № 1594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B13" authorId="0" shapeId="0">
      <text>
        <t>Участок № 1593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C13" authorId="0" shapeId="0">
      <text>
        <t>Участок № 1592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D13" authorId="0" shapeId="0">
      <text>
        <t>Участок № 1591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F13" authorId="0" shapeId="0">
      <text>
        <t>Участок № 1581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G13" authorId="0" shapeId="0">
      <text>
        <t>Участок № 1580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H13" authorId="0" shapeId="0">
      <text>
        <t>Участок № 1579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I13" authorId="0" shapeId="0">
      <text>
        <t>Участок № 1578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J13" authorId="0" shapeId="0">
      <text>
        <t>Участок № 1577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K13" authorId="0" shapeId="0">
      <text>
        <t>Участок № 1576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L13" authorId="0" shapeId="0">
      <text>
        <t>Участок № 1575
Айвазовского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M13" authorId="0" shapeId="0">
      <text>
        <t>Участок № 1574
Айвазовского
Вид: Виноградники / лиман / вулканы
Зона: 1 ф ВЛВ / 2 ф 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N13" authorId="0" shapeId="0">
      <text>
        <t>Участок № 1573
Айвазовского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18" authorId="0" shapeId="0">
      <text>
        <t>Участок № 1673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B18" authorId="0" shapeId="0">
      <text>
        <t>Участок № 1679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18" authorId="0" shapeId="0">
      <text>
        <t>Участок № 1680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18" authorId="0" shapeId="0">
      <text>
        <t>Участок № 1681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18" authorId="0" shapeId="0">
      <text>
        <t>Участок № 1682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18" authorId="0" shapeId="0">
      <text>
        <t>Участок № 1683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18" authorId="0" shapeId="0">
      <text>
        <t>Участок № 1684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K18" authorId="0" shapeId="0">
      <text>
        <t>Участок № 1658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M18" authorId="0" shapeId="0">
      <text>
        <t>Участок № 1664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18" authorId="0" shapeId="0">
      <text>
        <t>Участок № 1665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18" authorId="0" shapeId="0">
      <text>
        <t>Участок № 1666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18" authorId="0" shapeId="0">
      <text>
        <t>Участок № 1667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18" authorId="0" shapeId="0">
      <text>
        <t>Участок № 1668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18" authorId="0" shapeId="0">
      <text>
        <t>Участок № 1669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V18" authorId="0" shapeId="0">
      <text>
        <t>Участок № 1687
Луначарского | 587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3 756 800 ₽
Надбавка к дому: +587 000 ₽</t>
      </text>
    </comment>
    <comment ref="W18" authorId="0" shapeId="0">
      <text>
        <t>Участок № 1695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18" authorId="0" shapeId="0">
      <text>
        <t>Участок № 1696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18" authorId="0" shapeId="0">
      <text>
        <t>Участок № 1697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18" authorId="0" shapeId="0">
      <text>
        <t>Участок № 1698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18" authorId="0" shapeId="0">
      <text>
        <t>Участок № 1699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18" authorId="0" shapeId="0">
      <text>
        <t>Участок № 1700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18" authorId="0" shapeId="0">
      <text>
        <t>Участок № 1701
Луначарского | 587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3 756 800 ₽
Надбавка к дому: +587 000 ₽</t>
      </text>
    </comment>
    <comment ref="AF18" authorId="0" shapeId="0">
      <text>
        <t>Участок № 1703
Луначарского | 510 м² (±5 м²)
Вид: Панорама
Зона: 1 ф МВЛВ / 2ф МВЛВ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3 264 000 ₽
Надбавка к дому: +510 000 ₽</t>
      </text>
    </comment>
    <comment ref="AG18" authorId="0" shapeId="0">
      <text>
        <t>Участок № 1710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18" authorId="0" shapeId="0">
      <text>
        <t>Участок № 1711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18" authorId="0" shapeId="0">
      <text>
        <t>Участок № 1712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18" authorId="0" shapeId="0">
      <text>
        <t>Участок № 1713
Луначарского | 500 м² (±5 м²)
Статус: Резерв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18" authorId="0" shapeId="0">
      <text>
        <t>Участок № 1714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18" authorId="0" shapeId="0">
      <text>
        <t>Участок № 1715
Луначарского | 729 м² (±5 м²)
Вид: Панорама
Зона: 1 ф МВЛВ / 2ф МВЛВ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4 665 600 ₽
Надбавка к дому: +729 000 ₽</t>
      </text>
    </comment>
    <comment ref="AF19" authorId="0" shapeId="0">
      <text>
        <t>Участок № 1709
Луначарского | 500 м² (±5 м²)
Вид: Панорама
Зона: 1 ф МВЛВ / 2ф МВЛВ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20" authorId="0" shapeId="0">
      <text>
        <t>Участок № 1678
Луначарского | 646 м² (±5 м²)
Статус: Бронь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4 134 400 ₽
Надбавка к дому: +646 000 ₽</t>
      </text>
    </comment>
    <comment ref="B20" authorId="0" shapeId="0">
      <text>
        <t>Участок № 1677
Луначарского | 500 м² (±5 м²)
Статус: Бронь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C20" authorId="0" shapeId="0">
      <text>
        <t>Участок № 1676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D20" authorId="0" shapeId="0">
      <text>
        <t>Участок № 1675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E20" authorId="0" shapeId="0">
      <text>
        <t>Участок № 1674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F20" authorId="0" shapeId="0">
      <text>
        <t>Участок № 1686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G20" authorId="0" shapeId="0">
      <text>
        <t>Участок № 1685
Луначарского | 647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4 140 800 ₽
Надбавка к дому: +647 000 ₽</t>
      </text>
    </comment>
    <comment ref="K20" authorId="0" shapeId="0">
      <text>
        <t>Участок № 1663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M20" authorId="0" shapeId="0">
      <text>
        <t>Участок № 1662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N20" authorId="0" shapeId="0">
      <text>
        <t>Участок № 1661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O20" authorId="0" shapeId="0">
      <text>
        <t>Участок № 1660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P20" authorId="0" shapeId="0">
      <text>
        <t>Участок № 1659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Q20" authorId="0" shapeId="0">
      <text>
        <t>Участок № 1671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R20" authorId="0" shapeId="0">
      <text>
        <t>Участок № 1670
Луначарского | 662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4 236 800 ₽
Надбавка к дому: +662 000 ₽</t>
      </text>
    </comment>
    <comment ref="V20" authorId="0" shapeId="0">
      <text>
        <t>Участок № 1694
Луначарского | 590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3 776 000 ₽
Надбавка к дому: +590 000 ₽</t>
      </text>
    </comment>
    <comment ref="W20" authorId="0" shapeId="0">
      <text>
        <t>Участок № 1693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X20" authorId="0" shapeId="0">
      <text>
        <t>Участок № 1692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Y20" authorId="0" shapeId="0">
      <text>
        <t>Участок № 1691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Z20" authorId="0" shapeId="0">
      <text>
        <t>Участок № 1690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A20" authorId="0" shapeId="0">
      <text>
        <t>Участок № 1689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B20" authorId="0" shapeId="0">
      <text>
        <t>Участок № 1688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C20" authorId="0" shapeId="0">
      <text>
        <t>Участок № 1702
Луначарского | 590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3 776 000 ₽
Надбавка к дому: +590 000 ₽</t>
      </text>
    </comment>
    <comment ref="AF20" authorId="0" shapeId="0">
      <text>
        <t>Участок № 1708
Луначарского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</t>
      </text>
    </comment>
    <comment ref="AG20" authorId="0" shapeId="0">
      <text>
        <t>Участок № 1706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H20" authorId="0" shapeId="0">
      <text>
        <t>Участок № 1707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I20" authorId="0" shapeId="0">
      <text>
        <t>Участок № 1705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J20" authorId="0" shapeId="0">
      <text>
        <t>Участок № 1704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K20" authorId="0" shapeId="0">
      <text>
        <t>Участок № 1717
Луначарского | 500 м² (±5 м²)
Вид: Вид на море
Зона: 1 ф М / 2 ф М
Статус: Свободно | Угловой: Нет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3 200 000 ₽</t>
      </text>
    </comment>
    <comment ref="AL20" authorId="0" shapeId="0">
      <text>
        <t>Участок № 1716
Луначарского | 660 м² (±5 м²)
Вид: Вид на море
Зона: 1 ф М / 2 ф М
Статус: Свободно | Угловой: Да
—
Допустимые дома (каталог):
1 эт.:
• Костеро (32 м²) — 6 094 000 ₽
• Линия 40 (40 м²) — 8 500 000 ₽
• Линия 72 (72 м²) — 11 260 000 ₽
• Логос (64 м²) — 10 990 000 ₽
• Логос мини (40 м²) — 8 500 000 ₽
• Арбор (32 м²) — 6 369 000 ₽
• Баня (24 м²) — 3 200 000 ₽
2 эт.:
• Палаццо (80 м²) — 11 990 000 ₽
• Эдем (60 м²) — 10 990 000 ₽
• Вилла Маре (136 м²) — 12 850 000 ₽
—
₽/м² земли: 6 400 ₽
Цена земли: 4 224 000 ₽
Надбавка к дому: +660 000 ₽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4" authorId="0" shapeId="0">
      <text>
        <t>№ 1 — БАРНХАУС
Дом: 62.0 м²
Статус: Продано</t>
      </text>
    </comment>
    <comment ref="E14" authorId="0" shapeId="0">
      <text>
        <t>№ 2 — А-ФРЕЙМ
Дом: 40.0 м²
Статус: Продано</t>
      </text>
    </comment>
    <comment ref="H14" authorId="0" shapeId="0">
      <text>
        <t>№ 3 — А-ФРЕЙМ
Дом: 40.0 м²
Статус: Продано</t>
      </text>
    </comment>
    <comment ref="K14" authorId="0" shapeId="0">
      <text>
        <t>№ 4 — А-ФРЕЙМ
Дом: 40.0 м²
Статус: Свободно (акция)
Цена: 14 500 000 ₽</t>
      </text>
    </comment>
    <comment ref="N14" authorId="0" shapeId="0">
      <text>
        <t>№ 5 — А-ФРЕЙМ
Дом: 40.0 м²
Статус: Продано</t>
      </text>
    </comment>
    <comment ref="Q14" authorId="0" shapeId="0">
      <text>
        <t>№ 6 — БАРНХАУС
Дом: 62.0 м²
Статус: Продано</t>
      </text>
    </comment>
    <comment ref="T14" authorId="0" shapeId="0">
      <text>
        <t>№ 7 — А-ФРЕЙМ
Дом: 40.0 м²
Статус: Свободно
Цена: 12 000 000 ₽</t>
      </text>
    </comment>
    <comment ref="B19" authorId="0" shapeId="0">
      <text>
        <t>№ 8 — А-ФРЕЙМ
Дом: 40.0 м²
Статус: Свободно
Цена: 12 000 000 ₽</t>
      </text>
    </comment>
    <comment ref="E19" authorId="0" shapeId="0">
      <text>
        <t>№ 9 — А-ФРЕЙМ
Дом: 40.0 м²
Статус: Свободно
Цена: 12 000 000 ₽</t>
      </text>
    </comment>
    <comment ref="H19" authorId="0" shapeId="0">
      <text>
        <t>№ 10 — А-ФРЕЙМ
Дом: 40.0 м²
Статус: Свободно
Цена: 12 000 000 ₽</t>
      </text>
    </comment>
    <comment ref="K19" authorId="0" shapeId="0">
      <text>
        <t>№ 11 — БАРНХАУС
Дом: 62.0 м²
Статус: Свободно
Цена: 16 000 000 ₽</t>
      </text>
    </comment>
    <comment ref="N19" authorId="0" shapeId="0">
      <text>
        <t>№ 12 — А-ФРЕЙМ
Дом: 62.0 м²
Статус: Продано</t>
      </text>
    </comment>
    <comment ref="Q19" authorId="0" shapeId="0">
      <text>
        <t>№ 13 — А-ФРЕЙМ
Дом: 40.0 м²
Статус: Свободно
Цена: 12 000 000 ₽</t>
      </text>
    </comment>
    <comment ref="T19" authorId="0" shapeId="0">
      <text>
        <t>№ 14 — А-ФРЕЙМ
Дом: 40.0 м²
Статус: Свободно
Цена: 12 000 000 ₽</t>
      </text>
    </comment>
    <comment ref="B24" authorId="0" shapeId="0">
      <text>
        <t>№ 15 — А-ФРЕЙМ
Дом: 40.0 м²
Статус: Свободно (акция)
Цена: 11 500 000 ₽</t>
      </text>
    </comment>
    <comment ref="E24" authorId="0" shapeId="0">
      <text>
        <t>№ 16 — БАРНХАУС
Дом: 40.0 м²
Статус: Продано</t>
      </text>
    </comment>
    <comment ref="H24" authorId="0" shapeId="0">
      <text>
        <t>№ 17 — А-ФРЕЙМ
Дом: 40.0 м²
Статус: Свободно
Цена: 12 000 000 ₽</t>
      </text>
    </comment>
    <comment ref="K24" authorId="0" shapeId="0">
      <text>
        <t>№ 18 — А-ФРЕЙМ
Дом: 62.0 м²
Статус: Свободно
Цена: 12 000 000 ₽</t>
      </text>
    </comment>
    <comment ref="N24" authorId="0" shapeId="0">
      <text>
        <t>№ 19 — А-ФРЕЙМ
Дом: 40.0 м²
Статус: Продано</t>
      </text>
    </comment>
    <comment ref="Q24" authorId="0" shapeId="0">
      <text>
        <t>№ 20 — А-ФРЕЙМ
Дом: 62.0 м²
Статус: Продано</t>
      </text>
    </comment>
    <comment ref="T24" authorId="0" shapeId="0">
      <text>
        <t>№ 21 — БАРНХАУС
Дом: 62.0 м²
Статус: Продано</t>
      </text>
    </comment>
    <comment ref="B29" authorId="0" shapeId="0">
      <text>
        <t>№ 22 — А-ФРЕЙМ
Дом: 40.0 м²
Статус: Свободно
Цена: 12 000 000 ₽</t>
      </text>
    </comment>
    <comment ref="E29" authorId="0" shapeId="0">
      <text>
        <t>№ 23 — А-ФРЕЙМ
Дом: 40.0 м²
Статус: Свободно
Цена: 12 000 000 ₽</t>
      </text>
    </comment>
    <comment ref="H29" authorId="0" shapeId="0">
      <text>
        <t>№ 24 — А-ФРЕЙМ
Дом: 40.0 м²
Статус: Свободно
Цена: 12 000 000 ₽</t>
      </text>
    </comment>
    <comment ref="K29" authorId="0" shapeId="0">
      <text>
        <t>№ 25 — А-ФРЕЙМ
Дом: 40.0 м²
Статус: Свободно
Цена: 12 000 000 ₽</t>
      </text>
    </comment>
    <comment ref="N29" authorId="0" shapeId="0">
      <text>
        <t>№ 26 — А-ФРЕЙМ
Дом: 40.0 м²
Статус: Свободно
Цена: 12 000 000 ₽</t>
      </text>
    </comment>
    <comment ref="Q29" authorId="0" shapeId="0">
      <text>
        <t>№ 27 — БАРНХАУС
Дом: 62.0 м²
Статус: Продано</t>
      </text>
    </comment>
    <comment ref="T29" authorId="0" shapeId="0">
      <text>
        <t>№ 28 — А-ФРЕЙМ
Дом: 40.0 м²
Статус: Свободно
Цена: 12 000 000 ₽</t>
      </text>
    </comment>
    <comment ref="B34" authorId="0" shapeId="0">
      <text>
        <t>№ 29 — А-ФРЕЙМ
Дом: 40.0 м²
Статус: Продано</t>
      </text>
    </comment>
    <comment ref="E34" authorId="0" shapeId="0">
      <text>
        <t>№ 30 — А-ФРЕЙМ
Дом: 40.0 м²
Статус: Свободно (акция)
Цена: 11 500 000 ₽</t>
      </text>
    </comment>
    <comment ref="H34" authorId="0" shapeId="0">
      <text>
        <t>№ 31 — А-ФРЕЙМ
Дом: 40.0 м²
Статус: Свободно
Цена: 12 000 000 ₽</t>
      </text>
    </comment>
    <comment ref="K34" authorId="0" shapeId="0">
      <text>
        <t>№ 32 — А-ФРЕЙМ
Дом: 40.0 м²
Статус: Свободно
Цена: 12 000 000 ₽</t>
      </text>
    </comment>
    <comment ref="N34" authorId="0" shapeId="0">
      <text>
        <t>№ 33 — А-ФРЕЙМ
Дом: 40.0 м²
Статус: Продано</t>
      </text>
    </comment>
    <comment ref="Q34" authorId="0" shapeId="0">
      <text>
        <t>№ 34 — А-ФРЕЙМ
Дом: 40.0 м²
Статус: Свободно
Цена: 12 000 000 ₽</t>
      </text>
    </comment>
    <comment ref="T34" authorId="0" shapeId="0">
      <text>
        <t>№ 35 — А-ФРЕЙМ
Дом: 40.0 м²
Статус: Свободно
Цена: 12 000 000 ₽</t>
      </text>
    </comment>
    <comment ref="B39" authorId="0" shapeId="0">
      <text>
        <t>№ 36 — А-ФРЕЙМ
Дом: 40.0 м²
Статус: Свободно
Цена: 12 000 000 ₽</t>
      </text>
    </comment>
    <comment ref="E39" authorId="0" shapeId="0">
      <text>
        <t>№ 37 — БАРНХАУС
Дом: 62.0 м²
Статус: Резерв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3" name="Shape 3"/>
          <xdr:cNvGrpSpPr/>
        </xdr:nvGrpSpPr>
        <xdr:grpSpPr>
          <a:xfrm>
            <a:off x="4436363" y="2870363"/>
            <a:ext cx="1819275" cy="1819275"/>
            <a:chOff x="4436363" y="2870363"/>
            <a:chExt cx="1819275" cy="1819275"/>
          </a:xfrm>
        </xdr:grpSpPr>
        <xdr:sp>
          <xdr:nvSpPr>
            <xdr:cNvPr id="4" name="Shape 4"/>
            <xdr:cNvSpPr/>
          </xdr:nvSpPr>
          <xdr:spPr>
            <a:xfrm>
              <a:off x="4436363" y="2870363"/>
              <a:ext cx="181927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Рисунок"/>
            <xdr:cNvGrpSpPr/>
          </xdr:nvGrpSpPr>
          <xdr:grpSpPr>
            <a:xfrm>
              <a:off x="4436363" y="2870363"/>
              <a:ext cx="1819275" cy="1819275"/>
              <a:chOff x="152400" y="152400"/>
              <a:chExt cx="5410199" cy="5410199"/>
            </a:xfrm>
          </xdr:grpSpPr>
          <xdr:sp>
            <xdr:nvSpPr>
              <xdr:cNvPr id="6" name="Shape 6"/>
              <xdr:cNvSpPr/>
            </xdr:nvSpPr>
            <xdr:spPr>
              <a:xfrm>
                <a:off x="152400" y="152400"/>
                <a:ext cx="5410175" cy="5410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 title="f1a86d9f-819e-46c6-a532-47ac92d63db3.png"/>
              <xdr:cNvSpPr/>
            </xdr:nvSpPr>
            <xdr:spPr>
              <a:xfrm>
                <a:off x="152400" y="152400"/>
                <a:ext cx="5410199" cy="5410199"/>
              </a:xfrm>
              <a:prstGeom prst="rect">
                <a:avLst/>
              </a:prstGeom>
              <a:noFill/>
              <a:ln>
                <a:noFill/>
              </a:ln>
            </xdr:spPr>
          </xdr:sp>
        </xdr:grpSp>
      </xdr:grpSp>
    </xdr:grpSp>
    <xdr:clientData fLocksWithSheet="0"/>
  </xdr:oneCellAnchor>
  <xdr:oneCellAnchor>
    <xdr:from>
      <xdr:col>3</xdr:col>
      <xdr:colOff>200025</xdr:colOff>
      <xdr:row>11</xdr:row>
      <xdr:rowOff>123825</xdr:rowOff>
    </xdr:from>
    <xdr:ext cx="4629150" cy="50101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71675" cy="1971675"/>
    <xdr:grpSp>
      <xdr:nvGrpSpPr>
        <xdr:cNvPr id="2" name="Shape 2"/>
        <xdr:cNvGrpSpPr/>
      </xdr:nvGrpSpPr>
      <xdr:grpSpPr>
        <a:xfrm>
          <a:off x="4360163" y="2794163"/>
          <a:ext cx="1971675" cy="1971675"/>
          <a:chOff x="4360163" y="2794163"/>
          <a:chExt cx="1971675" cy="1971675"/>
        </a:xfrm>
      </xdr:grpSpPr>
      <xdr:grpSp>
        <xdr:nvGrpSpPr>
          <xdr:cNvPr id="8" name="Shape 8"/>
          <xdr:cNvGrpSpPr/>
        </xdr:nvGrpSpPr>
        <xdr:grpSpPr>
          <a:xfrm>
            <a:off x="4360163" y="2794163"/>
            <a:ext cx="1971675" cy="1971675"/>
            <a:chOff x="4360163" y="2794163"/>
            <a:chExt cx="1971675" cy="1971675"/>
          </a:xfrm>
        </xdr:grpSpPr>
        <xdr:sp>
          <xdr:nvSpPr>
            <xdr:cNvPr id="4" name="Shape 4"/>
            <xdr:cNvSpPr/>
          </xdr:nvSpPr>
          <xdr:spPr>
            <a:xfrm>
              <a:off x="4360163" y="2794163"/>
              <a:ext cx="1971675" cy="197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" name="Shape 9" title="Рисунок"/>
            <xdr:cNvGrpSpPr/>
          </xdr:nvGrpSpPr>
          <xdr:grpSpPr>
            <a:xfrm>
              <a:off x="4360163" y="2794163"/>
              <a:ext cx="1971675" cy="1971675"/>
              <a:chOff x="152400" y="152400"/>
              <a:chExt cx="3613599" cy="3613599"/>
            </a:xfrm>
          </xdr:grpSpPr>
          <xdr:sp>
            <xdr:nvSpPr>
              <xdr:cNvPr id="10" name="Shape 10"/>
              <xdr:cNvSpPr/>
            </xdr:nvSpPr>
            <xdr:spPr>
              <a:xfrm>
                <a:off x="152400" y="152400"/>
                <a:ext cx="3613575" cy="3613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1" name="Shape 11" title="f1a86d9f-819e-46c6-a532-47ac92d63db3.png"/>
              <xdr:cNvSpPr/>
            </xdr:nvSpPr>
            <xdr:spPr>
              <a:xfrm>
                <a:off x="152400" y="152400"/>
                <a:ext cx="3613599" cy="3613599"/>
              </a:xfrm>
              <a:prstGeom prst="rect">
                <a:avLst/>
              </a:prstGeom>
              <a:noFill/>
              <a:ln>
                <a:noFill/>
              </a:ln>
            </xdr:spPr>
          </xdr:sp>
        </xdr:grpSp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19275" cy="1819275"/>
    <xdr:grpSp>
      <xdr:nvGrpSpPr>
        <xdr:cNvPr id="2" name="Shape 2"/>
        <xdr:cNvGrpSpPr/>
      </xdr:nvGrpSpPr>
      <xdr:grpSpPr>
        <a:xfrm>
          <a:off x="4436363" y="2870363"/>
          <a:ext cx="1819275" cy="1819275"/>
          <a:chOff x="4436363" y="2870363"/>
          <a:chExt cx="1819275" cy="1819275"/>
        </a:xfrm>
      </xdr:grpSpPr>
      <xdr:grpSp>
        <xdr:nvGrpSpPr>
          <xdr:cNvPr id="12" name="Shape 12"/>
          <xdr:cNvGrpSpPr/>
        </xdr:nvGrpSpPr>
        <xdr:grpSpPr>
          <a:xfrm>
            <a:off x="4436363" y="2870363"/>
            <a:ext cx="1819275" cy="1819275"/>
            <a:chOff x="4436363" y="2870363"/>
            <a:chExt cx="1819275" cy="1819275"/>
          </a:xfrm>
        </xdr:grpSpPr>
        <xdr:sp>
          <xdr:nvSpPr>
            <xdr:cNvPr id="4" name="Shape 4"/>
            <xdr:cNvSpPr/>
          </xdr:nvSpPr>
          <xdr:spPr>
            <a:xfrm>
              <a:off x="4436363" y="2870363"/>
              <a:ext cx="1819275" cy="1819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 title="Рисунок"/>
            <xdr:cNvGrpSpPr/>
          </xdr:nvGrpSpPr>
          <xdr:grpSpPr>
            <a:xfrm>
              <a:off x="4436363" y="2870363"/>
              <a:ext cx="1819275" cy="1819275"/>
              <a:chOff x="152400" y="152400"/>
              <a:chExt cx="5410199" cy="5410199"/>
            </a:xfrm>
          </xdr:grpSpPr>
          <xdr:sp>
            <xdr:nvSpPr>
              <xdr:cNvPr id="14" name="Shape 14"/>
              <xdr:cNvSpPr/>
            </xdr:nvSpPr>
            <xdr:spPr>
              <a:xfrm>
                <a:off x="152400" y="152400"/>
                <a:ext cx="5410175" cy="5410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5" name="Shape 15" title="f1a86d9f-819e-46c6-a532-47ac92d63db3.png"/>
              <xdr:cNvSpPr/>
            </xdr:nvSpPr>
            <xdr:spPr>
              <a:xfrm>
                <a:off x="152400" y="152400"/>
                <a:ext cx="5410199" cy="5410199"/>
              </a:xfrm>
              <a:prstGeom prst="rect">
                <a:avLst/>
              </a:prstGeom>
              <a:noFill/>
              <a:ln>
                <a:noFill/>
              </a:ln>
            </xdr:spPr>
          </xdr: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46"/>
  <sheetViews>
    <sheetView workbookViewId="0">
      <selection activeCell="A1" sqref="A1"/>
    </sheetView>
  </sheetViews>
  <sheetFormatPr baseColWidth="8" defaultColWidth="12.63" defaultRowHeight="15" customHeight="1"/>
  <cols>
    <col width="7.63" customWidth="1" style="163" min="9" max="9"/>
    <col hidden="1" width="12.63" customWidth="1" style="163" min="10" max="10"/>
    <col width="6.63" customWidth="1" style="163" min="20" max="20"/>
    <col hidden="1" width="12.63" customWidth="1" style="163" min="21" max="21"/>
    <col width="8" customWidth="1" style="163" min="31" max="31"/>
  </cols>
  <sheetData>
    <row r="1">
      <c r="A1" s="164" t="inlineStr">
        <is>
          <t>Продан</t>
        </is>
      </c>
      <c r="B1" s="165" t="n"/>
      <c r="C1" s="166" t="inlineStr">
        <is>
          <t>Бронь</t>
        </is>
      </c>
      <c r="D1" s="165" t="n"/>
      <c r="E1" s="167" t="inlineStr">
        <is>
          <t>В продаже</t>
        </is>
      </c>
      <c r="F1" s="165" t="n"/>
      <c r="H1" s="102" t="inlineStr">
        <is>
          <t xml:space="preserve">цветочные обозначения какие планировки </t>
        </is>
      </c>
    </row>
    <row r="2">
      <c r="A2" s="168" t="n"/>
      <c r="B2" s="169" t="n"/>
      <c r="C2" s="168" t="n"/>
      <c r="D2" s="169" t="n"/>
      <c r="E2" s="168" t="n"/>
      <c r="F2" s="169" t="n"/>
    </row>
    <row r="3">
      <c r="A3" s="170" t="n"/>
      <c r="B3" s="171" t="n"/>
      <c r="C3" s="170" t="n"/>
      <c r="D3" s="171" t="n"/>
      <c r="E3" s="170" t="n"/>
      <c r="F3" s="171" t="n"/>
      <c r="H3" s="102" t="inlineStr">
        <is>
          <t>обозначение 1 и 2х этажных домов</t>
        </is>
      </c>
    </row>
    <row r="8">
      <c r="A8" s="172" t="inlineStr">
        <is>
          <t>Айвазовского</t>
        </is>
      </c>
      <c r="H8" s="169" t="n"/>
      <c r="I8" s="173" t="inlineStr">
        <is>
          <t>Прогулочная аллея</t>
        </is>
      </c>
      <c r="J8" s="169" t="n"/>
      <c r="K8" s="174" t="inlineStr">
        <is>
          <t>Айвазовского</t>
        </is>
      </c>
      <c r="L8" s="175" t="n"/>
      <c r="M8" s="175" t="n"/>
      <c r="N8" s="175" t="n"/>
      <c r="O8" s="175" t="n"/>
      <c r="P8" s="175" t="n"/>
      <c r="Q8" s="175" t="n"/>
      <c r="R8" s="175" t="n"/>
      <c r="S8" s="165" t="n"/>
      <c r="T8" s="176" t="n"/>
      <c r="U8" s="165" t="n"/>
      <c r="V8" s="174" t="inlineStr">
        <is>
          <t>Айвазовского</t>
        </is>
      </c>
      <c r="W8" s="175" t="n"/>
      <c r="X8" s="175" t="n"/>
      <c r="Y8" s="175" t="n"/>
      <c r="Z8" s="175" t="n"/>
      <c r="AA8" s="175" t="n"/>
      <c r="AB8" s="175" t="n"/>
      <c r="AC8" s="175" t="n"/>
      <c r="AD8" s="165" t="n"/>
      <c r="AE8" s="176" t="n"/>
      <c r="AF8" s="174" t="inlineStr">
        <is>
          <t>Айвазовского</t>
        </is>
      </c>
      <c r="AG8" s="175" t="n"/>
      <c r="AH8" s="175" t="n"/>
      <c r="AI8" s="175" t="n"/>
      <c r="AJ8" s="175" t="n"/>
      <c r="AK8" s="175" t="n"/>
      <c r="AL8" s="175" t="n"/>
      <c r="AM8" s="175" t="n"/>
      <c r="AN8" s="165" t="n"/>
    </row>
    <row r="9">
      <c r="A9" s="168" t="n"/>
      <c r="H9" s="169" t="n"/>
      <c r="J9" s="169" t="n"/>
      <c r="K9" s="168" t="n"/>
      <c r="S9" s="169" t="n"/>
      <c r="T9" s="168" t="n"/>
      <c r="U9" s="169" t="n"/>
      <c r="V9" s="168" t="n"/>
      <c r="AD9" s="169" t="n"/>
      <c r="AE9" s="177" t="n"/>
      <c r="AF9" s="168" t="n"/>
      <c r="AN9" s="169" t="n"/>
    </row>
    <row r="10">
      <c r="A10" s="170" t="n"/>
      <c r="B10" s="178" t="n"/>
      <c r="C10" s="178" t="n"/>
      <c r="D10" s="178" t="n"/>
      <c r="E10" s="178" t="n"/>
      <c r="F10" s="178" t="n"/>
      <c r="G10" s="178" t="n"/>
      <c r="H10" s="171" t="n"/>
      <c r="J10" s="169" t="n"/>
      <c r="K10" s="170" t="n"/>
      <c r="L10" s="178" t="n"/>
      <c r="M10" s="178" t="n"/>
      <c r="N10" s="178" t="n"/>
      <c r="O10" s="178" t="n"/>
      <c r="P10" s="178" t="n"/>
      <c r="Q10" s="178" t="n"/>
      <c r="R10" s="178" t="n"/>
      <c r="S10" s="171" t="n"/>
      <c r="T10" s="168" t="n"/>
      <c r="U10" s="169" t="n"/>
      <c r="V10" s="170" t="n"/>
      <c r="W10" s="178" t="n"/>
      <c r="X10" s="178" t="n"/>
      <c r="Y10" s="178" t="n"/>
      <c r="Z10" s="178" t="n"/>
      <c r="AA10" s="178" t="n"/>
      <c r="AB10" s="178" t="n"/>
      <c r="AC10" s="178" t="n"/>
      <c r="AD10" s="171" t="n"/>
      <c r="AE10" s="177" t="n"/>
      <c r="AF10" s="170" t="n"/>
      <c r="AG10" s="178" t="n"/>
      <c r="AH10" s="178" t="n"/>
      <c r="AI10" s="178" t="n"/>
      <c r="AJ10" s="178" t="n"/>
      <c r="AK10" s="178" t="n"/>
      <c r="AL10" s="178" t="n"/>
      <c r="AM10" s="178" t="n"/>
      <c r="AN10" s="171" t="n"/>
    </row>
    <row r="11">
      <c r="A11" s="179" t="n">
        <v>1642</v>
      </c>
      <c r="B11" s="179" t="n">
        <v>1650</v>
      </c>
      <c r="C11" s="179" t="n">
        <v>1651</v>
      </c>
      <c r="D11" s="179" t="n">
        <v>1652</v>
      </c>
      <c r="E11" s="179" t="n">
        <v>1653</v>
      </c>
      <c r="F11" s="179" t="n">
        <v>1654</v>
      </c>
      <c r="G11" s="179" t="n">
        <v>1655</v>
      </c>
      <c r="H11" s="179" t="n">
        <v>1656</v>
      </c>
      <c r="J11" s="169" t="n"/>
      <c r="K11" s="180" t="n">
        <v>1538</v>
      </c>
      <c r="L11" s="181" t="n">
        <v>1546</v>
      </c>
      <c r="M11" s="181" t="n">
        <v>1547</v>
      </c>
      <c r="N11" s="181" t="n">
        <v>1548</v>
      </c>
      <c r="O11" s="181" t="n">
        <v>1549</v>
      </c>
      <c r="P11" s="181" t="n">
        <v>1550</v>
      </c>
      <c r="Q11" s="181" t="n">
        <v>1551</v>
      </c>
      <c r="R11" s="181" t="n">
        <v>1552</v>
      </c>
      <c r="S11" s="182" t="n"/>
      <c r="T11" s="168" t="n"/>
      <c r="U11" s="169" t="n"/>
      <c r="V11" s="180" t="n">
        <v>1590</v>
      </c>
      <c r="W11" s="181" t="n">
        <v>1600</v>
      </c>
      <c r="X11" s="181" t="n">
        <v>1601</v>
      </c>
      <c r="Y11" s="181" t="n">
        <v>1602</v>
      </c>
      <c r="Z11" s="181" t="n">
        <v>1603</v>
      </c>
      <c r="AA11" s="181" t="n">
        <v>1604</v>
      </c>
      <c r="AB11" s="181" t="n">
        <v>1605</v>
      </c>
      <c r="AC11" s="181" t="n">
        <v>1606</v>
      </c>
      <c r="AD11" s="183" t="n">
        <v>1607</v>
      </c>
      <c r="AE11" s="177" t="n"/>
      <c r="AF11" s="180" t="n">
        <v>1572</v>
      </c>
      <c r="AG11" s="181" t="n">
        <v>1582</v>
      </c>
      <c r="AH11" s="181" t="n">
        <v>1583</v>
      </c>
      <c r="AI11" s="181" t="n">
        <v>1584</v>
      </c>
      <c r="AJ11" s="181" t="n">
        <v>1585</v>
      </c>
      <c r="AK11" s="181" t="n">
        <v>1586</v>
      </c>
      <c r="AL11" s="181" t="n">
        <v>1587</v>
      </c>
      <c r="AM11" s="181" t="n">
        <v>1588</v>
      </c>
      <c r="AN11" s="181" t="n">
        <v>1589</v>
      </c>
    </row>
    <row r="12">
      <c r="A12" s="184" t="n"/>
      <c r="B12" s="184" t="n"/>
      <c r="C12" s="184" t="n"/>
      <c r="D12" s="184" t="n"/>
      <c r="E12" s="184" t="n"/>
      <c r="F12" s="184" t="n"/>
      <c r="G12" s="184" t="n"/>
      <c r="H12" s="184" t="n"/>
      <c r="J12" s="169" t="n"/>
      <c r="K12" s="185" t="n"/>
      <c r="L12" s="184" t="n"/>
      <c r="M12" s="184" t="n"/>
      <c r="N12" s="184" t="n"/>
      <c r="O12" s="184" t="n"/>
      <c r="P12" s="184" t="n"/>
      <c r="Q12" s="184" t="n"/>
      <c r="R12" s="186" t="n"/>
      <c r="S12" s="185" t="n"/>
      <c r="T12" s="168" t="n"/>
      <c r="U12" s="169" t="n"/>
      <c r="V12" s="185" t="n"/>
      <c r="W12" s="184" t="n"/>
      <c r="X12" s="184" t="n"/>
      <c r="Y12" s="184" t="n"/>
      <c r="Z12" s="184" t="n"/>
      <c r="AA12" s="184" t="n"/>
      <c r="AB12" s="184" t="n"/>
      <c r="AC12" s="184" t="n"/>
      <c r="AD12" s="186" t="n"/>
      <c r="AE12" s="177" t="n"/>
      <c r="AF12" s="185" t="n"/>
      <c r="AG12" s="184" t="n"/>
      <c r="AH12" s="184" t="n"/>
      <c r="AI12" s="184" t="n"/>
      <c r="AJ12" s="184" t="n"/>
      <c r="AK12" s="184" t="n"/>
      <c r="AL12" s="184" t="n"/>
      <c r="AM12" s="184" t="n"/>
      <c r="AN12" s="184" t="n"/>
    </row>
    <row r="13">
      <c r="A13" s="181" t="n">
        <v>1649</v>
      </c>
      <c r="B13" s="181" t="n">
        <v>1648</v>
      </c>
      <c r="C13" s="181" t="n">
        <v>1647</v>
      </c>
      <c r="D13" s="181" t="n">
        <v>1646</v>
      </c>
      <c r="E13" s="181" t="n">
        <v>1645</v>
      </c>
      <c r="F13" s="181" t="n">
        <v>1644</v>
      </c>
      <c r="G13" s="181" t="n">
        <v>1643</v>
      </c>
      <c r="H13" s="181" t="n">
        <v>1657</v>
      </c>
      <c r="J13" s="169" t="n"/>
      <c r="K13" s="187" t="n">
        <v>1545</v>
      </c>
      <c r="L13" s="188" t="n">
        <v>1544</v>
      </c>
      <c r="M13" s="188" t="n">
        <v>1543</v>
      </c>
      <c r="N13" s="188" t="n">
        <v>1542</v>
      </c>
      <c r="O13" s="188" t="n">
        <v>1541</v>
      </c>
      <c r="P13" s="188" t="n">
        <v>1540</v>
      </c>
      <c r="Q13" s="188" t="n">
        <v>1539</v>
      </c>
      <c r="R13" s="188" t="n">
        <v>1553</v>
      </c>
      <c r="S13" s="182" t="n"/>
      <c r="T13" s="168" t="n"/>
      <c r="U13" s="169" t="n"/>
      <c r="V13" s="187" t="n">
        <v>1599</v>
      </c>
      <c r="W13" s="188" t="n">
        <v>1598</v>
      </c>
      <c r="X13" s="188" t="n">
        <v>1597</v>
      </c>
      <c r="Y13" s="188" t="n">
        <v>1596</v>
      </c>
      <c r="Z13" s="188" t="n">
        <v>1595</v>
      </c>
      <c r="AA13" s="181" t="n">
        <v>1594</v>
      </c>
      <c r="AB13" s="181" t="n">
        <v>1593</v>
      </c>
      <c r="AC13" s="181" t="n">
        <v>1592</v>
      </c>
      <c r="AD13" s="183" t="n">
        <v>1591</v>
      </c>
      <c r="AE13" s="177" t="n"/>
      <c r="AF13" s="187" t="n">
        <v>1581</v>
      </c>
      <c r="AG13" s="188" t="n">
        <v>1580</v>
      </c>
      <c r="AH13" s="188" t="n">
        <v>1579</v>
      </c>
      <c r="AI13" s="188" t="n">
        <v>1578</v>
      </c>
      <c r="AJ13" s="188" t="n">
        <v>1577</v>
      </c>
      <c r="AK13" s="188" t="n">
        <v>1576</v>
      </c>
      <c r="AL13" s="188" t="n">
        <v>1575</v>
      </c>
      <c r="AM13" s="181" t="n">
        <v>1574</v>
      </c>
      <c r="AN13" s="189" t="n">
        <v>1573</v>
      </c>
    </row>
    <row r="14">
      <c r="A14" s="184" t="n"/>
      <c r="B14" s="184" t="n"/>
      <c r="C14" s="184" t="n"/>
      <c r="D14" s="184" t="n"/>
      <c r="E14" s="184" t="n"/>
      <c r="F14" s="184" t="n"/>
      <c r="G14" s="184" t="n"/>
      <c r="H14" s="184" t="n"/>
      <c r="J14" s="169" t="n"/>
      <c r="K14" s="185" t="n"/>
      <c r="L14" s="184" t="n"/>
      <c r="M14" s="184" t="n"/>
      <c r="N14" s="184" t="n"/>
      <c r="O14" s="184" t="n"/>
      <c r="P14" s="184" t="n"/>
      <c r="Q14" s="184" t="n"/>
      <c r="R14" s="186" t="n"/>
      <c r="S14" s="185" t="n"/>
      <c r="T14" s="168" t="n"/>
      <c r="U14" s="169" t="n"/>
      <c r="V14" s="185" t="n"/>
      <c r="W14" s="184" t="n"/>
      <c r="X14" s="184" t="n"/>
      <c r="Y14" s="184" t="n"/>
      <c r="Z14" s="184" t="n"/>
      <c r="AA14" s="184" t="n"/>
      <c r="AB14" s="184" t="n"/>
      <c r="AC14" s="184" t="n"/>
      <c r="AD14" s="186" t="n"/>
      <c r="AE14" s="177" t="n"/>
      <c r="AF14" s="185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</row>
    <row r="15">
      <c r="A15" s="172" t="inlineStr">
        <is>
          <t>Луначарского</t>
        </is>
      </c>
      <c r="H15" s="169" t="n"/>
      <c r="J15" s="169" t="n"/>
      <c r="K15" s="174" t="inlineStr">
        <is>
          <t>Луначарского</t>
        </is>
      </c>
      <c r="L15" s="175" t="n"/>
      <c r="M15" s="175" t="n"/>
      <c r="N15" s="175" t="n"/>
      <c r="O15" s="175" t="n"/>
      <c r="P15" s="175" t="n"/>
      <c r="Q15" s="175" t="n"/>
      <c r="R15" s="175" t="n"/>
      <c r="S15" s="165" t="n"/>
      <c r="T15" s="168" t="n"/>
      <c r="U15" s="169" t="n"/>
      <c r="V15" s="174" t="inlineStr">
        <is>
          <t>Луначарского</t>
        </is>
      </c>
      <c r="W15" s="175" t="n"/>
      <c r="X15" s="175" t="n"/>
      <c r="Y15" s="175" t="n"/>
      <c r="Z15" s="175" t="n"/>
      <c r="AA15" s="175" t="n"/>
      <c r="AB15" s="175" t="n"/>
      <c r="AC15" s="175" t="n"/>
      <c r="AD15" s="165" t="n"/>
      <c r="AE15" s="177" t="n"/>
      <c r="AF15" s="190" t="inlineStr">
        <is>
          <t>Луначарского</t>
        </is>
      </c>
      <c r="AG15" s="175" t="n"/>
      <c r="AH15" s="175" t="n"/>
      <c r="AI15" s="175" t="n"/>
      <c r="AJ15" s="175" t="n"/>
      <c r="AK15" s="175" t="n"/>
      <c r="AL15" s="175" t="n"/>
      <c r="AM15" s="175" t="n"/>
      <c r="AN15" s="165" t="n"/>
    </row>
    <row r="16">
      <c r="A16" s="168" t="n"/>
      <c r="H16" s="169" t="n"/>
      <c r="J16" s="169" t="n"/>
      <c r="K16" s="168" t="n"/>
      <c r="S16" s="169" t="n"/>
      <c r="T16" s="168" t="n"/>
      <c r="U16" s="169" t="n"/>
      <c r="V16" s="168" t="n"/>
      <c r="AD16" s="169" t="n"/>
      <c r="AE16" s="177" t="n"/>
      <c r="AF16" s="168" t="n"/>
      <c r="AN16" s="169" t="n"/>
    </row>
    <row r="17">
      <c r="A17" s="170" t="n"/>
      <c r="B17" s="178" t="n"/>
      <c r="C17" s="178" t="n"/>
      <c r="D17" s="178" t="n"/>
      <c r="E17" s="178" t="n"/>
      <c r="F17" s="178" t="n"/>
      <c r="G17" s="178" t="n"/>
      <c r="H17" s="171" t="n"/>
      <c r="J17" s="169" t="n"/>
      <c r="K17" s="170" t="n"/>
      <c r="L17" s="178" t="n"/>
      <c r="M17" s="178" t="n"/>
      <c r="N17" s="178" t="n"/>
      <c r="O17" s="178" t="n"/>
      <c r="P17" s="178" t="n"/>
      <c r="Q17" s="178" t="n"/>
      <c r="R17" s="178" t="n"/>
      <c r="S17" s="171" t="n"/>
      <c r="T17" s="168" t="n"/>
      <c r="U17" s="169" t="n"/>
      <c r="V17" s="170" t="n"/>
      <c r="W17" s="178" t="n"/>
      <c r="X17" s="178" t="n"/>
      <c r="Y17" s="178" t="n"/>
      <c r="Z17" s="178" t="n"/>
      <c r="AA17" s="178" t="n"/>
      <c r="AB17" s="178" t="n"/>
      <c r="AC17" s="178" t="n"/>
      <c r="AD17" s="171" t="n"/>
      <c r="AE17" s="177" t="n"/>
      <c r="AF17" s="170" t="n"/>
      <c r="AG17" s="178" t="n"/>
      <c r="AH17" s="178" t="n"/>
      <c r="AI17" s="178" t="n"/>
      <c r="AJ17" s="178" t="n"/>
      <c r="AK17" s="178" t="n"/>
      <c r="AL17" s="178" t="n"/>
      <c r="AM17" s="178" t="n"/>
      <c r="AN17" s="171" t="n"/>
    </row>
    <row r="18">
      <c r="A18" s="191" t="n">
        <v>1673</v>
      </c>
      <c r="B18" s="192" t="n">
        <v>1679</v>
      </c>
      <c r="C18" s="192" t="n">
        <v>1680</v>
      </c>
      <c r="D18" s="192" t="n">
        <v>1681</v>
      </c>
      <c r="E18" s="191" t="n">
        <v>1682</v>
      </c>
      <c r="F18" s="191" t="n">
        <v>1683</v>
      </c>
      <c r="G18" s="191" t="n">
        <v>1684</v>
      </c>
      <c r="H18" s="193" t="n"/>
      <c r="J18" s="169" t="n"/>
      <c r="K18" s="194" t="n">
        <v>1658</v>
      </c>
      <c r="L18" s="193" t="n"/>
      <c r="M18" s="191" t="n">
        <v>1664</v>
      </c>
      <c r="N18" s="191" t="n">
        <v>1665</v>
      </c>
      <c r="O18" s="191" t="n">
        <v>1666</v>
      </c>
      <c r="P18" s="191" t="n">
        <v>1667</v>
      </c>
      <c r="Q18" s="191" t="n">
        <v>1668</v>
      </c>
      <c r="R18" s="191" t="n">
        <v>1669</v>
      </c>
      <c r="S18" s="195" t="n"/>
      <c r="T18" s="168" t="n"/>
      <c r="U18" s="169" t="n"/>
      <c r="V18" s="194" t="n">
        <v>1687</v>
      </c>
      <c r="W18" s="191" t="n">
        <v>1695</v>
      </c>
      <c r="X18" s="191" t="n">
        <v>1696</v>
      </c>
      <c r="Y18" s="191" t="n">
        <v>1697</v>
      </c>
      <c r="Z18" s="191" t="n">
        <v>1698</v>
      </c>
      <c r="AA18" s="191" t="n">
        <v>1699</v>
      </c>
      <c r="AB18" s="191" t="n">
        <v>1700</v>
      </c>
      <c r="AC18" s="191" t="n">
        <v>1701</v>
      </c>
      <c r="AD18" s="193" t="n"/>
      <c r="AE18" s="177" t="n"/>
      <c r="AF18" s="38" t="n">
        <v>1703</v>
      </c>
      <c r="AG18" s="196" t="n">
        <v>1710</v>
      </c>
      <c r="AH18" s="197" t="n">
        <v>1711</v>
      </c>
      <c r="AI18" s="197" t="n">
        <v>1712</v>
      </c>
      <c r="AJ18" s="197" t="n">
        <v>1713</v>
      </c>
      <c r="AK18" s="196" t="n">
        <v>1714</v>
      </c>
      <c r="AL18" s="196" t="n">
        <v>1715</v>
      </c>
      <c r="AM18" s="195" t="n"/>
      <c r="AN18" s="165" t="n"/>
    </row>
    <row r="19">
      <c r="A19" s="184" t="n"/>
      <c r="B19" s="184" t="n"/>
      <c r="C19" s="184" t="n"/>
      <c r="D19" s="184" t="n"/>
      <c r="E19" s="184" t="n"/>
      <c r="F19" s="184" t="n"/>
      <c r="G19" s="186" t="n"/>
      <c r="H19" s="185" t="n"/>
      <c r="J19" s="169" t="n"/>
      <c r="K19" s="198" t="n"/>
      <c r="L19" s="185" t="n"/>
      <c r="M19" s="184" t="n"/>
      <c r="N19" s="184" t="n"/>
      <c r="O19" s="184" t="n"/>
      <c r="P19" s="184" t="n"/>
      <c r="Q19" s="184" t="n"/>
      <c r="R19" s="184" t="n"/>
      <c r="S19" s="169" t="n"/>
      <c r="T19" s="168" t="n"/>
      <c r="U19" s="169" t="n"/>
      <c r="V19" s="185" t="n"/>
      <c r="W19" s="184" t="n"/>
      <c r="X19" s="184" t="n"/>
      <c r="Y19" s="184" t="n"/>
      <c r="Z19" s="184" t="n"/>
      <c r="AA19" s="184" t="n"/>
      <c r="AB19" s="184" t="n"/>
      <c r="AC19" s="186" t="n"/>
      <c r="AD19" s="185" t="n"/>
      <c r="AE19" s="177" t="n"/>
      <c r="AF19" s="43" t="n">
        <v>1709</v>
      </c>
      <c r="AG19" s="184" t="n"/>
      <c r="AH19" s="184" t="n"/>
      <c r="AI19" s="184" t="n"/>
      <c r="AJ19" s="184" t="n"/>
      <c r="AK19" s="184" t="n"/>
      <c r="AL19" s="184" t="n"/>
      <c r="AN19" s="169" t="n"/>
    </row>
    <row r="20">
      <c r="A20" s="199" t="n">
        <v>1678</v>
      </c>
      <c r="B20" s="199" t="n">
        <v>1677</v>
      </c>
      <c r="C20" s="188" t="n">
        <v>1676</v>
      </c>
      <c r="D20" s="188" t="n">
        <v>1675</v>
      </c>
      <c r="E20" s="188" t="n">
        <v>1674</v>
      </c>
      <c r="F20" s="188" t="n">
        <v>1686</v>
      </c>
      <c r="G20" s="188" t="n">
        <v>1685</v>
      </c>
      <c r="H20" s="182" t="n"/>
      <c r="J20" s="169" t="n"/>
      <c r="K20" s="187" t="n">
        <v>1663</v>
      </c>
      <c r="L20" s="182" t="n"/>
      <c r="M20" s="188" t="n">
        <v>1662</v>
      </c>
      <c r="N20" s="188" t="n">
        <v>1661</v>
      </c>
      <c r="O20" s="188" t="n">
        <v>1660</v>
      </c>
      <c r="P20" s="188" t="n">
        <v>1659</v>
      </c>
      <c r="Q20" s="188" t="n">
        <v>1671</v>
      </c>
      <c r="R20" s="188" t="n">
        <v>1670</v>
      </c>
      <c r="S20" s="169" t="n"/>
      <c r="T20" s="168" t="n"/>
      <c r="U20" s="169" t="n"/>
      <c r="V20" s="187" t="n">
        <v>1694</v>
      </c>
      <c r="W20" s="188" t="n">
        <v>1693</v>
      </c>
      <c r="X20" s="188" t="n">
        <v>1692</v>
      </c>
      <c r="Y20" s="188" t="n">
        <v>1691</v>
      </c>
      <c r="Z20" s="188" t="n">
        <v>1690</v>
      </c>
      <c r="AA20" s="188" t="n">
        <v>1689</v>
      </c>
      <c r="AB20" s="188" t="n">
        <v>1688</v>
      </c>
      <c r="AC20" s="188" t="n">
        <v>1702</v>
      </c>
      <c r="AD20" s="182" t="n"/>
      <c r="AE20" s="177" t="n"/>
      <c r="AF20" s="187" t="n">
        <v>1708</v>
      </c>
      <c r="AG20" s="188" t="n">
        <v>1706</v>
      </c>
      <c r="AH20" s="188" t="n">
        <v>1707</v>
      </c>
      <c r="AI20" s="188" t="n">
        <v>1705</v>
      </c>
      <c r="AJ20" s="188" t="n">
        <v>1704</v>
      </c>
      <c r="AK20" s="188" t="n">
        <v>1717</v>
      </c>
      <c r="AL20" s="188" t="n">
        <v>1716</v>
      </c>
      <c r="AN20" s="169" t="n"/>
    </row>
    <row r="21">
      <c r="A21" s="184" t="n"/>
      <c r="B21" s="184" t="n"/>
      <c r="C21" s="184" t="n"/>
      <c r="D21" s="184" t="n"/>
      <c r="E21" s="184" t="n"/>
      <c r="F21" s="184" t="n"/>
      <c r="G21" s="186" t="n"/>
      <c r="H21" s="185" t="n"/>
      <c r="J21" s="169" t="n"/>
      <c r="K21" s="198" t="n"/>
      <c r="L21" s="185" t="n"/>
      <c r="M21" s="184" t="n"/>
      <c r="N21" s="184" t="n"/>
      <c r="O21" s="184" t="n"/>
      <c r="P21" s="184" t="n"/>
      <c r="Q21" s="184" t="n"/>
      <c r="R21" s="184" t="n"/>
      <c r="S21" s="171" t="n"/>
      <c r="T21" s="168" t="n"/>
      <c r="U21" s="169" t="n"/>
      <c r="V21" s="185" t="n"/>
      <c r="W21" s="184" t="n"/>
      <c r="X21" s="184" t="n"/>
      <c r="Y21" s="184" t="n"/>
      <c r="Z21" s="184" t="n"/>
      <c r="AA21" s="184" t="n"/>
      <c r="AB21" s="184" t="n"/>
      <c r="AC21" s="186" t="n"/>
      <c r="AD21" s="185" t="n"/>
      <c r="AE21" s="177" t="n"/>
      <c r="AF21" s="185" t="n"/>
      <c r="AG21" s="184" t="n"/>
      <c r="AH21" s="184" t="n"/>
      <c r="AI21" s="184" t="n"/>
      <c r="AJ21" s="184" t="n"/>
      <c r="AK21" s="184" t="n"/>
      <c r="AL21" s="184" t="n"/>
      <c r="AM21" s="178" t="n"/>
      <c r="AN21" s="171" t="n"/>
    </row>
    <row r="22">
      <c r="A22" s="172" t="inlineStr">
        <is>
          <t>Дивноморская</t>
        </is>
      </c>
      <c r="H22" s="169" t="n"/>
      <c r="J22" s="169" t="n"/>
      <c r="K22" s="172" t="inlineStr">
        <is>
          <t>Дивноморская</t>
        </is>
      </c>
      <c r="S22" s="169" t="n"/>
      <c r="T22" s="168" t="n"/>
      <c r="U22" s="169" t="n"/>
      <c r="V22" s="172" t="inlineStr">
        <is>
          <t>Дивноморская</t>
        </is>
      </c>
      <c r="AD22" s="169" t="n"/>
      <c r="AE22" s="177" t="n"/>
      <c r="AF22" s="172" t="inlineStr">
        <is>
          <t>Дивноморская</t>
        </is>
      </c>
      <c r="AN22" s="169" t="n"/>
    </row>
    <row r="23">
      <c r="A23" s="168" t="n"/>
      <c r="H23" s="169" t="n"/>
      <c r="J23" s="169" t="n"/>
      <c r="K23" s="168" t="n"/>
      <c r="S23" s="169" t="n"/>
      <c r="T23" s="168" t="n"/>
      <c r="U23" s="169" t="n"/>
      <c r="V23" s="168" t="n"/>
      <c r="AD23" s="169" t="n"/>
      <c r="AE23" s="177" t="n"/>
      <c r="AF23" s="168" t="n"/>
      <c r="AN23" s="169" t="n"/>
    </row>
    <row r="24">
      <c r="A24" s="170" t="n"/>
      <c r="B24" s="178" t="n"/>
      <c r="C24" s="178" t="n"/>
      <c r="D24" s="178" t="n"/>
      <c r="E24" s="178" t="n"/>
      <c r="F24" s="178" t="n"/>
      <c r="G24" s="178" t="n"/>
      <c r="H24" s="171" t="n"/>
      <c r="J24" s="169" t="n"/>
      <c r="K24" s="170" t="n"/>
      <c r="L24" s="178" t="n"/>
      <c r="M24" s="178" t="n"/>
      <c r="N24" s="178" t="n"/>
      <c r="O24" s="178" t="n"/>
      <c r="P24" s="178" t="n"/>
      <c r="Q24" s="178" t="n"/>
      <c r="R24" s="178" t="n"/>
      <c r="S24" s="171" t="n"/>
      <c r="T24" s="168" t="n"/>
      <c r="U24" s="169" t="n"/>
      <c r="V24" s="170" t="n"/>
      <c r="W24" s="178" t="n"/>
      <c r="X24" s="178" t="n"/>
      <c r="Y24" s="178" t="n"/>
      <c r="Z24" s="178" t="n"/>
      <c r="AA24" s="178" t="n"/>
      <c r="AB24" s="178" t="n"/>
      <c r="AC24" s="178" t="n"/>
      <c r="AD24" s="171" t="n"/>
      <c r="AE24" s="177" t="n"/>
      <c r="AF24" s="170" t="n"/>
      <c r="AG24" s="178" t="n"/>
      <c r="AH24" s="178" t="n"/>
      <c r="AI24" s="178" t="n"/>
      <c r="AJ24" s="178" t="n"/>
      <c r="AK24" s="178" t="n"/>
      <c r="AL24" s="178" t="n"/>
      <c r="AM24" s="178" t="n"/>
      <c r="AN24" s="171" t="n"/>
    </row>
    <row r="25">
      <c r="A25" s="200" t="n"/>
      <c r="B25" s="200" t="n"/>
      <c r="C25" s="200" t="n"/>
      <c r="D25" s="200" t="n"/>
      <c r="E25" s="200" t="n"/>
      <c r="F25" s="200" t="n"/>
      <c r="G25" s="200" t="n"/>
      <c r="H25" s="200" t="n"/>
      <c r="J25" s="169" t="n"/>
      <c r="K25" s="201" t="n"/>
      <c r="L25" s="200" t="n"/>
      <c r="M25" s="200" t="n"/>
      <c r="N25" s="200" t="n"/>
      <c r="O25" s="200" t="n"/>
      <c r="P25" s="200" t="n"/>
      <c r="Q25" s="200" t="n"/>
      <c r="R25" s="200" t="n"/>
      <c r="S25" s="202" t="n"/>
      <c r="T25" s="168" t="n"/>
      <c r="U25" s="169" t="n"/>
      <c r="V25" s="201" t="n"/>
      <c r="W25" s="200" t="n"/>
      <c r="X25" s="200" t="n"/>
      <c r="Y25" s="200" t="n"/>
      <c r="Z25" s="200" t="n"/>
      <c r="AA25" s="200" t="n"/>
      <c r="AB25" s="200" t="n"/>
      <c r="AC25" s="200" t="n"/>
      <c r="AD25" s="203" t="n"/>
      <c r="AE25" s="177" t="n"/>
      <c r="AF25" s="201" t="n"/>
      <c r="AG25" s="200" t="n"/>
      <c r="AH25" s="200" t="n"/>
      <c r="AI25" s="200" t="n"/>
      <c r="AJ25" s="200" t="n"/>
      <c r="AK25" s="200" t="n"/>
      <c r="AL25" s="200" t="n"/>
      <c r="AM25" s="200" t="n"/>
      <c r="AN25" s="200" t="n"/>
    </row>
    <row r="26">
      <c r="A26" s="184" t="n"/>
      <c r="B26" s="184" t="n"/>
      <c r="C26" s="184" t="n"/>
      <c r="D26" s="184" t="n"/>
      <c r="E26" s="184" t="n"/>
      <c r="F26" s="184" t="n"/>
      <c r="G26" s="184" t="n"/>
      <c r="H26" s="184" t="n"/>
      <c r="J26" s="169" t="n"/>
      <c r="K26" s="185" t="n"/>
      <c r="L26" s="184" t="n"/>
      <c r="M26" s="184" t="n"/>
      <c r="N26" s="184" t="n"/>
      <c r="O26" s="184" t="n"/>
      <c r="P26" s="184" t="n"/>
      <c r="Q26" s="184" t="n"/>
      <c r="R26" s="184" t="n"/>
      <c r="S26" s="186" t="n"/>
      <c r="T26" s="168" t="n"/>
      <c r="U26" s="169" t="n"/>
      <c r="V26" s="185" t="n"/>
      <c r="W26" s="184" t="n"/>
      <c r="X26" s="184" t="n"/>
      <c r="Y26" s="184" t="n"/>
      <c r="Z26" s="184" t="n"/>
      <c r="AA26" s="184" t="n"/>
      <c r="AB26" s="184" t="n"/>
      <c r="AC26" s="184" t="n"/>
      <c r="AD26" s="186" t="n"/>
      <c r="AE26" s="177" t="n"/>
      <c r="AF26" s="185" t="n"/>
      <c r="AG26" s="184" t="n"/>
      <c r="AH26" s="184" t="n"/>
      <c r="AI26" s="184" t="n"/>
      <c r="AJ26" s="184" t="n"/>
      <c r="AK26" s="184" t="n"/>
      <c r="AL26" s="184" t="n"/>
      <c r="AM26" s="184" t="n"/>
      <c r="AN26" s="184" t="n"/>
    </row>
    <row r="27">
      <c r="A27" s="50" t="n"/>
      <c r="B27" s="50" t="n"/>
      <c r="C27" s="50" t="n"/>
      <c r="D27" s="50" t="n"/>
      <c r="E27" s="50" t="n"/>
      <c r="F27" s="50" t="n"/>
      <c r="G27" s="50" t="n"/>
      <c r="H27" s="50" t="n"/>
      <c r="J27" s="169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1" t="n"/>
      <c r="T27" s="168" t="n"/>
      <c r="U27" s="169" t="n"/>
      <c r="AE27" s="177" t="n"/>
      <c r="AF27" s="50" t="n"/>
      <c r="AG27" s="50" t="n"/>
      <c r="AH27" s="50" t="n"/>
      <c r="AI27" s="50" t="n"/>
      <c r="AJ27" s="50" t="n"/>
      <c r="AK27" s="50" t="n"/>
      <c r="AL27" s="50" t="n"/>
      <c r="AM27" s="50" t="n"/>
      <c r="AN27" s="50" t="n"/>
    </row>
    <row r="28">
      <c r="J28" s="169" t="n"/>
      <c r="T28" s="168" t="n"/>
      <c r="U28" s="169" t="n"/>
      <c r="AE28" s="177" t="n"/>
      <c r="AF28" s="50" t="n"/>
      <c r="AG28" s="50" t="n"/>
      <c r="AH28" s="50" t="n"/>
      <c r="AI28" s="50" t="n"/>
      <c r="AJ28" s="50" t="n"/>
      <c r="AK28" s="50" t="n"/>
      <c r="AL28" s="50" t="n"/>
      <c r="AM28" s="50" t="n"/>
      <c r="AN28" s="50" t="n"/>
    </row>
    <row r="29">
      <c r="J29" s="169" t="n"/>
      <c r="T29" s="168" t="n"/>
      <c r="U29" s="169" t="n"/>
      <c r="AE29" s="177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</row>
    <row r="30">
      <c r="J30" s="169" t="n"/>
      <c r="T30" s="168" t="n"/>
      <c r="U30" s="169" t="n"/>
      <c r="AE30" s="177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</row>
    <row r="31">
      <c r="J31" s="169" t="n"/>
      <c r="T31" s="168" t="n"/>
      <c r="U31" s="169" t="n"/>
      <c r="AE31" s="177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</row>
    <row r="32">
      <c r="B32" s="102" t="inlineStr">
        <is>
          <t>калькулятор</t>
        </is>
      </c>
      <c r="J32" s="169" t="n"/>
      <c r="T32" s="168" t="n"/>
      <c r="U32" s="169" t="n"/>
      <c r="AE32" s="177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</row>
    <row r="33">
      <c r="J33" s="169" t="n"/>
      <c r="T33" s="168" t="n"/>
      <c r="U33" s="169" t="n"/>
      <c r="AE33" s="177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</row>
    <row r="34">
      <c r="J34" s="169" t="n"/>
      <c r="T34" s="168" t="n"/>
      <c r="U34" s="169" t="n"/>
      <c r="AE34" s="177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</row>
    <row r="35">
      <c r="J35" s="169" t="n"/>
      <c r="T35" s="168" t="n"/>
      <c r="U35" s="169" t="n"/>
      <c r="AE35" s="177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</row>
    <row r="36">
      <c r="J36" s="169" t="n"/>
      <c r="T36" s="168" t="n"/>
      <c r="U36" s="169" t="n"/>
      <c r="AE36" s="177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</row>
    <row r="37">
      <c r="J37" s="169" t="n"/>
      <c r="T37" s="168" t="n"/>
      <c r="U37" s="169" t="n"/>
      <c r="AE37" s="177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</row>
    <row r="38">
      <c r="J38" s="169" t="n"/>
      <c r="T38" s="168" t="n"/>
      <c r="U38" s="169" t="n"/>
      <c r="AE38" s="177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</row>
    <row r="39">
      <c r="I39" s="178" t="n"/>
      <c r="J39" s="171" t="n"/>
      <c r="T39" s="168" t="n"/>
      <c r="U39" s="169" t="n"/>
      <c r="AE39" s="177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</row>
    <row r="40">
      <c r="T40" s="168" t="n"/>
      <c r="U40" s="169" t="n"/>
      <c r="AE40" s="177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</row>
    <row r="41">
      <c r="T41" s="168" t="n"/>
      <c r="U41" s="169" t="n"/>
      <c r="AE41" s="177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</row>
    <row r="42">
      <c r="T42" s="168" t="n"/>
      <c r="U42" s="169" t="n"/>
      <c r="AE42" s="177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</row>
    <row r="43">
      <c r="T43" s="168" t="n"/>
      <c r="U43" s="169" t="n"/>
      <c r="AE43" s="177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</row>
    <row r="44">
      <c r="T44" s="168" t="n"/>
      <c r="U44" s="169" t="n"/>
      <c r="AE44" s="177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</row>
    <row r="45">
      <c r="T45" s="168" t="n"/>
      <c r="U45" s="169" t="n"/>
      <c r="AE45" s="177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</row>
    <row r="46">
      <c r="T46" s="170" t="n"/>
      <c r="U46" s="171" t="n"/>
      <c r="AE46" s="204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</row>
  </sheetData>
  <mergeCells count="197">
    <mergeCell ref="AL11:AL12"/>
    <mergeCell ref="N25:N26"/>
    <mergeCell ref="A15:H17"/>
    <mergeCell ref="Z25:Z26"/>
    <mergeCell ref="AH20:AH21"/>
    <mergeCell ref="H11:H12"/>
    <mergeCell ref="F18:F19"/>
    <mergeCell ref="R25:R26"/>
    <mergeCell ref="A27:A28"/>
    <mergeCell ref="K27:K28"/>
    <mergeCell ref="B13:B14"/>
    <mergeCell ref="AJ13:AJ14"/>
    <mergeCell ref="AD25:AD26"/>
    <mergeCell ref="D13:D14"/>
    <mergeCell ref="AL13:AL14"/>
    <mergeCell ref="AF25:AF26"/>
    <mergeCell ref="C1:D3"/>
    <mergeCell ref="F13:F14"/>
    <mergeCell ref="W11:W12"/>
    <mergeCell ref="Q27:Q28"/>
    <mergeCell ref="H13:H14"/>
    <mergeCell ref="D18:D19"/>
    <mergeCell ref="AI25:AI26"/>
    <mergeCell ref="C27:C28"/>
    <mergeCell ref="K18:L19"/>
    <mergeCell ref="AF11:AF12"/>
    <mergeCell ref="A20:A21"/>
    <mergeCell ref="Q11:Q12"/>
    <mergeCell ref="M18:M19"/>
    <mergeCell ref="O27:O28"/>
    <mergeCell ref="AG18:AG19"/>
    <mergeCell ref="AC11:AC12"/>
    <mergeCell ref="Y18:Y19"/>
    <mergeCell ref="AA18:AA19"/>
    <mergeCell ref="AG20:AG21"/>
    <mergeCell ref="E25:E26"/>
    <mergeCell ref="W13:W14"/>
    <mergeCell ref="Q25:Q26"/>
    <mergeCell ref="S25:S26"/>
    <mergeCell ref="AC18:AD19"/>
    <mergeCell ref="B25:B26"/>
    <mergeCell ref="P25:P26"/>
    <mergeCell ref="B27:B28"/>
    <mergeCell ref="D27:D28"/>
    <mergeCell ref="W25:W26"/>
    <mergeCell ref="N18:N19"/>
    <mergeCell ref="E13:E14"/>
    <mergeCell ref="AM13:AM14"/>
    <mergeCell ref="G13:G14"/>
    <mergeCell ref="B11:B12"/>
    <mergeCell ref="AK25:AK26"/>
    <mergeCell ref="D11:D12"/>
    <mergeCell ref="F20:F21"/>
    <mergeCell ref="A1:B3"/>
    <mergeCell ref="P11:P12"/>
    <mergeCell ref="K8:S10"/>
    <mergeCell ref="M13:M14"/>
    <mergeCell ref="AG13:AG14"/>
    <mergeCell ref="AL25:AL26"/>
    <mergeCell ref="E1:F3"/>
    <mergeCell ref="AN25:AN26"/>
    <mergeCell ref="AK11:AK12"/>
    <mergeCell ref="Z18:Z19"/>
    <mergeCell ref="V11:V12"/>
    <mergeCell ref="X20:X21"/>
    <mergeCell ref="AJ18:AJ19"/>
    <mergeCell ref="M27:M28"/>
    <mergeCell ref="Z20:Z21"/>
    <mergeCell ref="AL18:AL19"/>
    <mergeCell ref="E27:E28"/>
    <mergeCell ref="AH11:AH12"/>
    <mergeCell ref="AE8:AE46"/>
    <mergeCell ref="W18:W19"/>
    <mergeCell ref="N13:N14"/>
    <mergeCell ref="P13:P14"/>
    <mergeCell ref="AI18:AI19"/>
    <mergeCell ref="Z13:Z14"/>
    <mergeCell ref="R11:S12"/>
    <mergeCell ref="D25:D26"/>
    <mergeCell ref="AB13:AB14"/>
    <mergeCell ref="V22:AD24"/>
    <mergeCell ref="AF22:AN24"/>
    <mergeCell ref="G25:G26"/>
    <mergeCell ref="R13:S14"/>
    <mergeCell ref="F11:F12"/>
    <mergeCell ref="A8:H10"/>
    <mergeCell ref="AN13:AN14"/>
    <mergeCell ref="G27:G28"/>
    <mergeCell ref="AF13:AF14"/>
    <mergeCell ref="AH13:AH14"/>
    <mergeCell ref="A22:H24"/>
    <mergeCell ref="G11:G12"/>
    <mergeCell ref="C18:C19"/>
    <mergeCell ref="A11:A12"/>
    <mergeCell ref="M20:M21"/>
    <mergeCell ref="O18:O19"/>
    <mergeCell ref="S18:S21"/>
    <mergeCell ref="B18:B19"/>
    <mergeCell ref="C20:C21"/>
    <mergeCell ref="G18:H19"/>
    <mergeCell ref="E20:E21"/>
    <mergeCell ref="M11:M12"/>
    <mergeCell ref="S27:S28"/>
    <mergeCell ref="O20:O21"/>
    <mergeCell ref="G20:H21"/>
    <mergeCell ref="Q20:Q21"/>
    <mergeCell ref="K22:S24"/>
    <mergeCell ref="AB25:AB26"/>
    <mergeCell ref="Y11:Y12"/>
    <mergeCell ref="AK20:AK21"/>
    <mergeCell ref="AA20:AA21"/>
    <mergeCell ref="P27:P28"/>
    <mergeCell ref="V15:AD17"/>
    <mergeCell ref="R27:R28"/>
    <mergeCell ref="K11:K12"/>
    <mergeCell ref="M25:M26"/>
    <mergeCell ref="O25:O26"/>
    <mergeCell ref="R20:R21"/>
    <mergeCell ref="T8:U46"/>
    <mergeCell ref="AB11:AB12"/>
    <mergeCell ref="X18:X19"/>
    <mergeCell ref="AD11:AD12"/>
    <mergeCell ref="L25:L26"/>
    <mergeCell ref="AF20:AF21"/>
    <mergeCell ref="AN11:AN12"/>
    <mergeCell ref="Y13:Y14"/>
    <mergeCell ref="A13:A14"/>
    <mergeCell ref="O11:O12"/>
    <mergeCell ref="AF8:AN10"/>
    <mergeCell ref="AJ20:AJ21"/>
    <mergeCell ref="B20:B21"/>
    <mergeCell ref="AL20:AL21"/>
    <mergeCell ref="D20:D21"/>
    <mergeCell ref="P18:P19"/>
    <mergeCell ref="L11:L12"/>
    <mergeCell ref="N11:N12"/>
    <mergeCell ref="K15:S17"/>
    <mergeCell ref="V25:V26"/>
    <mergeCell ref="X25:X26"/>
    <mergeCell ref="E18:E19"/>
    <mergeCell ref="AH25:AH26"/>
    <mergeCell ref="AJ25:AJ26"/>
    <mergeCell ref="V20:V21"/>
    <mergeCell ref="AG25:AG26"/>
    <mergeCell ref="AH18:AH19"/>
    <mergeCell ref="L13:L14"/>
    <mergeCell ref="F25:F26"/>
    <mergeCell ref="AD13:AD14"/>
    <mergeCell ref="V13:V14"/>
    <mergeCell ref="X13:X14"/>
    <mergeCell ref="AJ11:AJ12"/>
    <mergeCell ref="Q18:Q19"/>
    <mergeCell ref="W20:W21"/>
    <mergeCell ref="Y20:Y21"/>
    <mergeCell ref="AK18:AK19"/>
    <mergeCell ref="AG11:AG12"/>
    <mergeCell ref="AI20:AI21"/>
    <mergeCell ref="AI11:AI12"/>
    <mergeCell ref="AF15:AN17"/>
    <mergeCell ref="A25:A26"/>
    <mergeCell ref="C25:C26"/>
    <mergeCell ref="C11:C12"/>
    <mergeCell ref="E11:E12"/>
    <mergeCell ref="AM11:AM12"/>
    <mergeCell ref="A18:A19"/>
    <mergeCell ref="I8:J39"/>
    <mergeCell ref="AM18:AN21"/>
    <mergeCell ref="F27:F28"/>
    <mergeCell ref="H27:H28"/>
    <mergeCell ref="Y25:Y26"/>
    <mergeCell ref="AA25:AA26"/>
    <mergeCell ref="AC25:AC26"/>
    <mergeCell ref="R18:R19"/>
    <mergeCell ref="K20:L21"/>
    <mergeCell ref="K13:K14"/>
    <mergeCell ref="AM25:AM26"/>
    <mergeCell ref="L27:L28"/>
    <mergeCell ref="C13:C14"/>
    <mergeCell ref="N27:N28"/>
    <mergeCell ref="H25:H26"/>
    <mergeCell ref="O13:O14"/>
    <mergeCell ref="AA11:AA12"/>
    <mergeCell ref="Q13:Q14"/>
    <mergeCell ref="K25:K26"/>
    <mergeCell ref="AI13:AI14"/>
    <mergeCell ref="N20:N21"/>
    <mergeCell ref="AC20:AD21"/>
    <mergeCell ref="AK13:AK14"/>
    <mergeCell ref="AC13:AC14"/>
    <mergeCell ref="P20:P21"/>
    <mergeCell ref="AB18:AB19"/>
    <mergeCell ref="X11:X12"/>
    <mergeCell ref="AA13:AA14"/>
    <mergeCell ref="V8:AD10"/>
    <mergeCell ref="Z11:Z12"/>
    <mergeCell ref="V18:V19"/>
    <mergeCell ref="AB20:AB21"/>
  </mergeCells>
  <pageMargins left="0.75" right="0.75" top="1" bottom="1" header="0.5" footer="0.5"/>
  <legacyDrawing xmlns:r="http://schemas.openxmlformats.org/officeDocument/2006/relationships" r:id="anysvml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C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3" min="1" max="2"/>
    <col width="11.75" customWidth="1" style="163" min="3" max="3"/>
    <col width="12.63" customWidth="1" style="163" min="4" max="6"/>
    <col width="9" customWidth="1" style="163" min="9" max="9"/>
  </cols>
  <sheetData>
    <row r="1" ht="15.75" customHeight="1" s="163">
      <c r="A1" s="143" t="inlineStr">
        <is>
          <t xml:space="preserve">Château Del Mare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  <c r="B1" s="175" t="n"/>
      <c r="C1" s="175" t="n"/>
      <c r="D1" s="175" t="n"/>
      <c r="E1" s="175" t="n"/>
      <c r="F1" s="175" t="n"/>
      <c r="G1" s="175" t="n"/>
      <c r="H1" s="175" t="n"/>
      <c r="I1" s="175" t="n"/>
      <c r="J1" s="175" t="n"/>
      <c r="K1" s="54" t="n"/>
      <c r="L1" s="54" t="n"/>
      <c r="M1" s="54" t="n"/>
      <c r="N1" s="54" t="n"/>
      <c r="O1" s="55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4" t="n"/>
      <c r="AH1" s="94" t="n"/>
      <c r="AI1" s="94" t="n"/>
      <c r="AJ1" s="94" t="n"/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4" t="n"/>
      <c r="BA1" s="94" t="n"/>
      <c r="BB1" s="94" t="n"/>
      <c r="BC1" s="94" t="n"/>
    </row>
    <row r="2" ht="15.75" customHeight="1" s="163">
      <c r="A2" s="168" t="n"/>
      <c r="K2" s="57" t="n"/>
      <c r="L2" s="57" t="n"/>
      <c r="M2" s="57" t="n"/>
      <c r="N2" s="57" t="n"/>
      <c r="O2" s="58" t="n"/>
      <c r="P2" s="94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4" t="n"/>
      <c r="AB2" s="94" t="n"/>
      <c r="AC2" s="94" t="n"/>
      <c r="AD2" s="94" t="n"/>
      <c r="AE2" s="94" t="n"/>
      <c r="AF2" s="94" t="n"/>
      <c r="AG2" s="94" t="n"/>
      <c r="AH2" s="94" t="n"/>
      <c r="AI2" s="94" t="n"/>
      <c r="AJ2" s="94" t="n"/>
      <c r="AK2" s="94" t="n"/>
      <c r="AL2" s="94" t="n"/>
      <c r="AM2" s="94" t="n"/>
      <c r="AN2" s="94" t="n"/>
      <c r="AO2" s="94" t="n"/>
      <c r="AP2" s="94" t="n"/>
      <c r="AQ2" s="94" t="n"/>
      <c r="AR2" s="94" t="n"/>
      <c r="AS2" s="94" t="n"/>
      <c r="AT2" s="94" t="n"/>
      <c r="AU2" s="94" t="n"/>
      <c r="AV2" s="94" t="n"/>
      <c r="AW2" s="94" t="n"/>
      <c r="AX2" s="94" t="n"/>
      <c r="AY2" s="94" t="n"/>
      <c r="AZ2" s="94" t="n"/>
      <c r="BA2" s="94" t="n"/>
      <c r="BB2" s="94" t="n"/>
      <c r="BC2" s="94" t="n"/>
    </row>
    <row r="3" ht="15.75" customHeight="1" s="163">
      <c r="A3" s="168" t="n"/>
      <c r="K3" s="57" t="n"/>
      <c r="L3" s="57" t="n"/>
      <c r="M3" s="57" t="n"/>
      <c r="N3" s="57" t="n"/>
      <c r="O3" s="58" t="n"/>
      <c r="P3" s="94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4" t="n"/>
      <c r="AC3" s="94" t="n"/>
      <c r="AD3" s="94" t="n"/>
      <c r="AE3" s="94" t="n"/>
      <c r="AF3" s="94" t="n"/>
      <c r="AG3" s="94" t="n"/>
      <c r="AH3" s="94" t="n"/>
      <c r="AI3" s="94" t="n"/>
      <c r="AJ3" s="94" t="n"/>
      <c r="AK3" s="94" t="n"/>
      <c r="AL3" s="94" t="n"/>
      <c r="AM3" s="94" t="n"/>
      <c r="AN3" s="94" t="n"/>
      <c r="AO3" s="94" t="n"/>
      <c r="AP3" s="94" t="n"/>
      <c r="AQ3" s="94" t="n"/>
      <c r="AR3" s="94" t="n"/>
      <c r="AS3" s="94" t="n"/>
      <c r="AT3" s="94" t="n"/>
      <c r="AU3" s="94" t="n"/>
      <c r="AV3" s="94" t="n"/>
      <c r="AW3" s="94" t="n"/>
      <c r="AX3" s="94" t="n"/>
      <c r="AY3" s="94" t="n"/>
      <c r="AZ3" s="94" t="n"/>
      <c r="BA3" s="94" t="n"/>
      <c r="BB3" s="94" t="n"/>
      <c r="BC3" s="94" t="n"/>
    </row>
    <row r="4" ht="15.75" customHeight="1" s="163">
      <c r="A4" s="168" t="n"/>
      <c r="K4" s="57" t="n"/>
      <c r="L4" s="57" t="n"/>
      <c r="M4" s="57" t="n"/>
      <c r="N4" s="57" t="n"/>
      <c r="O4" s="58" t="n"/>
      <c r="P4" s="94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4" t="n"/>
      <c r="AG4" s="94" t="n"/>
      <c r="AH4" s="94" t="n"/>
      <c r="AI4" s="94" t="n"/>
      <c r="AJ4" s="94" t="n"/>
      <c r="AK4" s="94" t="n"/>
      <c r="AL4" s="94" t="n"/>
      <c r="AM4" s="94" t="n"/>
      <c r="AN4" s="94" t="n"/>
      <c r="AO4" s="94" t="n"/>
      <c r="AP4" s="94" t="n"/>
      <c r="AQ4" s="94" t="n"/>
      <c r="AR4" s="94" t="n"/>
      <c r="AS4" s="94" t="n"/>
      <c r="AT4" s="94" t="n"/>
      <c r="AU4" s="94" t="n"/>
      <c r="AV4" s="94" t="n"/>
      <c r="AW4" s="94" t="n"/>
      <c r="AX4" s="94" t="n"/>
      <c r="AY4" s="94" t="n"/>
      <c r="AZ4" s="94" t="n"/>
      <c r="BA4" s="94" t="n"/>
      <c r="BB4" s="94" t="n"/>
      <c r="BC4" s="94" t="n"/>
    </row>
    <row r="5" ht="15.75" customHeight="1" s="163">
      <c r="A5" s="168" t="n"/>
      <c r="K5" s="57" t="n"/>
      <c r="L5" s="57" t="n"/>
      <c r="M5" s="57" t="n"/>
      <c r="N5" s="57" t="n"/>
      <c r="O5" s="58" t="n"/>
      <c r="P5" s="94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94" t="n"/>
      <c r="AB5" s="94" t="n"/>
      <c r="AC5" s="94" t="n"/>
      <c r="AD5" s="94" t="n"/>
      <c r="AE5" s="94" t="n"/>
      <c r="AF5" s="94" t="n"/>
      <c r="AG5" s="94" t="n"/>
      <c r="AH5" s="94" t="n"/>
      <c r="AI5" s="94" t="n"/>
      <c r="AJ5" s="94" t="n"/>
      <c r="AK5" s="94" t="n"/>
      <c r="AL5" s="94" t="n"/>
      <c r="AM5" s="94" t="n"/>
      <c r="AN5" s="94" t="n"/>
      <c r="AO5" s="94" t="n"/>
      <c r="AP5" s="94" t="n"/>
      <c r="AQ5" s="94" t="n"/>
      <c r="AR5" s="94" t="n"/>
      <c r="AS5" s="94" t="n"/>
      <c r="AT5" s="94" t="n"/>
      <c r="AU5" s="94" t="n"/>
      <c r="AV5" s="94" t="n"/>
      <c r="AW5" s="94" t="n"/>
      <c r="AX5" s="94" t="n"/>
      <c r="AY5" s="94" t="n"/>
      <c r="AZ5" s="94" t="n"/>
      <c r="BA5" s="94" t="n"/>
      <c r="BB5" s="94" t="n"/>
      <c r="BC5" s="94" t="n"/>
    </row>
    <row r="6" ht="15.75" customHeight="1" s="163">
      <c r="A6" s="168" t="n"/>
      <c r="K6" s="57" t="n"/>
      <c r="L6" s="57" t="n"/>
      <c r="M6" s="57" t="n"/>
      <c r="N6" s="57" t="n"/>
      <c r="O6" s="58" t="n"/>
      <c r="P6" s="94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</row>
    <row r="7" ht="15.75" customHeight="1" s="163">
      <c r="A7" s="168" t="n"/>
      <c r="K7" s="57" t="n"/>
      <c r="L7" s="57" t="n"/>
      <c r="M7" s="57" t="n"/>
      <c r="N7" s="57" t="n"/>
      <c r="O7" s="58" t="n"/>
      <c r="P7" s="94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</row>
    <row r="8" ht="15.75" customHeight="1" s="163">
      <c r="A8" s="168" t="n"/>
      <c r="K8" s="57" t="n"/>
      <c r="L8" s="57" t="n"/>
      <c r="M8" s="57" t="n"/>
      <c r="N8" s="57" t="n"/>
      <c r="O8" s="58" t="n"/>
      <c r="P8" s="94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</row>
    <row r="9" ht="15.75" customHeight="1" s="163">
      <c r="A9" s="59" t="n"/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1" t="n"/>
      <c r="P9" s="62" t="n"/>
      <c r="Q9" s="94" t="n"/>
      <c r="R9" s="94" t="n"/>
      <c r="S9" s="62" t="n"/>
      <c r="T9" s="62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94" t="n"/>
      <c r="AJ9" s="94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  <c r="AZ9" s="62" t="n"/>
      <c r="BA9" s="94" t="n"/>
      <c r="BB9" s="94" t="n"/>
      <c r="BC9" s="94" t="n"/>
    </row>
    <row r="10" ht="15.75" customHeight="1" s="163">
      <c r="C10" s="94" t="n"/>
      <c r="D10" s="205" t="inlineStr">
        <is>
          <t>въезд в поселок</t>
        </is>
      </c>
      <c r="E10" s="175" t="n"/>
      <c r="F10" s="175" t="n"/>
      <c r="G10" s="175" t="n"/>
      <c r="H10" s="165" t="n"/>
      <c r="I10" s="94" t="n"/>
      <c r="J10" s="64" t="n"/>
      <c r="K10" s="65" t="inlineStr">
        <is>
          <t>Участок</t>
        </is>
      </c>
      <c r="L10" s="65" t="inlineStr">
        <is>
          <t>Дом</t>
        </is>
      </c>
      <c r="M10" s="62" t="n"/>
      <c r="N10" s="62" t="n"/>
      <c r="O10" s="62" t="n"/>
      <c r="P10" s="62" t="n"/>
      <c r="Q10" s="66" t="n"/>
      <c r="R10" s="67" t="n"/>
      <c r="S10" s="62" t="n"/>
      <c r="T10" s="62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7" t="n"/>
      <c r="AJ10" s="67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  <c r="AZ10" s="62" t="n"/>
      <c r="BA10" s="67" t="n"/>
      <c r="BB10" s="67" t="n"/>
      <c r="BC10" s="94" t="n"/>
    </row>
    <row r="11" ht="15.75" customHeight="1" s="163">
      <c r="C11" s="94" t="n"/>
      <c r="D11" s="170" t="n"/>
      <c r="E11" s="178" t="n"/>
      <c r="F11" s="178" t="n"/>
      <c r="G11" s="178" t="n"/>
      <c r="H11" s="171" t="n"/>
      <c r="I11" s="206" t="n"/>
      <c r="J11" s="64" t="n"/>
      <c r="K11" s="207" t="n">
        <v>1538</v>
      </c>
      <c r="L11" s="207" t="n"/>
      <c r="M11" s="70" t="n"/>
      <c r="N11" s="62" t="n"/>
      <c r="O11" s="62" t="n"/>
      <c r="P11" s="62" t="n"/>
      <c r="Q11" s="66" t="n"/>
      <c r="R11" s="67" t="n"/>
      <c r="S11" s="62" t="n"/>
      <c r="T11" s="62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7" t="n"/>
      <c r="AJ11" s="67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  <c r="AZ11" s="62" t="n"/>
      <c r="BA11" s="67" t="n"/>
      <c r="BB11" s="67" t="n"/>
      <c r="BC11" s="94" t="n"/>
    </row>
    <row r="12" ht="15.75" customHeight="1" s="163">
      <c r="C12" s="94" t="n"/>
      <c r="I12" s="177" t="n"/>
      <c r="J12" s="64" t="n"/>
      <c r="K12" s="207" t="n">
        <v>1539</v>
      </c>
      <c r="L12" s="207" t="n"/>
      <c r="M12" s="70" t="n"/>
      <c r="N12" s="62" t="n"/>
      <c r="O12" s="62" t="n"/>
      <c r="P12" s="62" t="n"/>
      <c r="Q12" s="71" t="n"/>
      <c r="R12" s="72" t="n"/>
      <c r="S12" s="62" t="n"/>
      <c r="T12" s="62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72" t="n"/>
      <c r="AJ12" s="72" t="n"/>
      <c r="AK12" s="62" t="n"/>
      <c r="AL12" s="94" t="n"/>
      <c r="AM12" s="94" t="n"/>
      <c r="AN12" s="94" t="n"/>
      <c r="AO12" s="94" t="n"/>
      <c r="AP12" s="94" t="n"/>
      <c r="AQ12" s="94" t="n"/>
      <c r="AR12" s="94" t="n"/>
      <c r="AS12" s="94" t="n"/>
      <c r="AT12" s="94" t="n"/>
      <c r="AU12" s="94" t="n"/>
      <c r="AV12" s="94" t="n"/>
      <c r="AW12" s="94" t="n"/>
      <c r="AX12" s="94" t="n"/>
      <c r="AY12" s="94" t="n"/>
      <c r="AZ12" s="94" t="n"/>
      <c r="BA12" s="67" t="n"/>
      <c r="BB12" s="67" t="n"/>
      <c r="BC12" s="94" t="n"/>
    </row>
    <row r="13" ht="15.75" customHeight="1" s="163">
      <c r="D13" s="94" t="n"/>
      <c r="E13" s="94" t="n"/>
      <c r="F13" s="94" t="n"/>
      <c r="G13" s="94" t="n"/>
      <c r="H13" s="94" t="n"/>
      <c r="I13" s="177" t="n"/>
      <c r="J13" s="81" t="n"/>
      <c r="K13" s="208" t="n">
        <v>1540</v>
      </c>
      <c r="L13" s="208" t="n"/>
      <c r="M13" s="82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83" t="n"/>
      <c r="AM13" s="209" t="n"/>
      <c r="AN13" s="209" t="n"/>
      <c r="AO13" s="209" t="n"/>
      <c r="AP13" s="209" t="n"/>
      <c r="AQ13" s="209" t="n"/>
      <c r="AR13" s="210" t="inlineStr">
        <is>
          <t>Резерв</t>
        </is>
      </c>
      <c r="AU13" s="94" t="n"/>
      <c r="AV13" s="94" t="n"/>
      <c r="AW13" s="94" t="n"/>
      <c r="AX13" s="94" t="n"/>
      <c r="AY13" s="94" t="n"/>
      <c r="AZ13" s="94" t="n"/>
      <c r="BA13" s="94" t="n"/>
      <c r="BB13" s="94" t="n"/>
      <c r="BC13" s="94" t="n"/>
    </row>
    <row r="14" ht="15.75" customHeight="1" s="163">
      <c r="D14" s="94" t="n"/>
      <c r="E14" s="94" t="n"/>
      <c r="F14" s="94" t="n"/>
      <c r="G14" s="94" t="n"/>
      <c r="H14" s="94" t="n"/>
      <c r="I14" s="177" t="n"/>
      <c r="J14" s="168" t="n"/>
      <c r="K14" s="208" t="n">
        <v>1541</v>
      </c>
      <c r="L14" s="208" t="n"/>
      <c r="M14" s="171" t="n"/>
      <c r="N14" s="204" t="n"/>
      <c r="O14" s="204" t="n"/>
      <c r="P14" s="204" t="n"/>
      <c r="Q14" s="77" t="n"/>
      <c r="R14" s="77" t="n"/>
      <c r="S14" s="204" t="n"/>
      <c r="T14" s="204" t="n"/>
      <c r="U14" s="204" t="n"/>
      <c r="V14" s="204" t="n"/>
      <c r="W14" s="204" t="n"/>
      <c r="X14" s="204" t="n"/>
      <c r="Y14" s="177" t="n"/>
      <c r="Z14" s="177" t="n"/>
      <c r="AA14" s="177" t="n"/>
      <c r="AB14" s="204" t="n"/>
      <c r="AC14" s="204" t="n"/>
      <c r="AD14" s="204" t="n"/>
      <c r="AE14" s="204" t="n"/>
      <c r="AF14" s="177" t="n"/>
      <c r="AG14" s="177" t="n"/>
      <c r="AH14" s="177" t="n"/>
      <c r="AI14" s="204" t="n"/>
      <c r="AJ14" s="204" t="n"/>
      <c r="AK14" s="204" t="n"/>
      <c r="AL14" s="171" t="n"/>
      <c r="AM14" s="184" t="n"/>
      <c r="AN14" s="184" t="n"/>
      <c r="AO14" s="184" t="n"/>
      <c r="AP14" s="184" t="n"/>
      <c r="AQ14" s="184" t="n"/>
      <c r="AR14" s="184" t="n"/>
      <c r="AU14" s="204" t="n"/>
      <c r="AV14" s="177" t="n"/>
      <c r="AW14" s="177" t="n"/>
      <c r="AX14" s="177" t="n"/>
      <c r="AY14" s="204" t="n"/>
      <c r="AZ14" s="204" t="n"/>
      <c r="BA14" s="204" t="n"/>
      <c r="BB14" s="204" t="n"/>
      <c r="BC14" s="94" t="n"/>
    </row>
    <row r="15" ht="15.75" customHeight="1" s="163">
      <c r="D15" s="94" t="n"/>
      <c r="E15" s="94" t="n"/>
      <c r="F15" s="94" t="n"/>
      <c r="G15" s="94" t="n"/>
      <c r="H15" s="94" t="n"/>
      <c r="I15" s="177" t="n"/>
      <c r="J15" s="168" t="n"/>
      <c r="K15" s="208" t="n">
        <v>1542</v>
      </c>
      <c r="L15" s="208" t="n"/>
      <c r="M15" s="82" t="n"/>
      <c r="N15" s="77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177" t="n"/>
      <c r="Z15" s="177" t="n"/>
      <c r="AA15" s="177" t="n"/>
      <c r="AB15" s="77" t="n"/>
      <c r="AC15" s="77" t="n"/>
      <c r="AD15" s="77" t="n"/>
      <c r="AE15" s="77" t="n"/>
      <c r="AF15" s="177" t="n"/>
      <c r="AG15" s="177" t="n"/>
      <c r="AH15" s="177" t="n"/>
      <c r="AI15" s="77" t="n"/>
      <c r="AJ15" s="77" t="n"/>
      <c r="AK15" s="77" t="n"/>
      <c r="AL15" s="83" t="n"/>
      <c r="AM15" s="209" t="n"/>
      <c r="AN15" s="209" t="n"/>
      <c r="AO15" s="209" t="n"/>
      <c r="AP15" s="209" t="n"/>
      <c r="AQ15" s="209" t="n"/>
      <c r="AR15" s="211" t="n"/>
      <c r="AU15" s="94" t="n"/>
      <c r="AV15" s="177" t="n"/>
      <c r="AW15" s="177" t="n"/>
      <c r="AX15" s="177" t="n"/>
      <c r="AY15" s="94" t="n"/>
      <c r="AZ15" s="94" t="n"/>
      <c r="BA15" s="94" t="n"/>
      <c r="BB15" s="94" t="n"/>
      <c r="BC15" s="94" t="n"/>
    </row>
    <row r="16" ht="15.75" customHeight="1" s="163">
      <c r="D16" s="94" t="n"/>
      <c r="E16" s="94" t="n"/>
      <c r="F16" s="94" t="n"/>
      <c r="G16" s="94" t="n"/>
      <c r="H16" s="94" t="n"/>
      <c r="I16" s="177" t="n"/>
      <c r="J16" s="170" t="n"/>
      <c r="K16" s="208" t="n">
        <v>1543</v>
      </c>
      <c r="L16" s="208" t="n"/>
      <c r="M16" s="171" t="n"/>
      <c r="N16" s="204" t="n"/>
      <c r="O16" s="204" t="n"/>
      <c r="P16" s="204" t="n"/>
      <c r="Q16" s="77" t="n"/>
      <c r="R16" s="77" t="n"/>
      <c r="S16" s="204" t="n"/>
      <c r="T16" s="204" t="n"/>
      <c r="U16" s="204" t="n"/>
      <c r="V16" s="204" t="n"/>
      <c r="W16" s="204" t="n"/>
      <c r="X16" s="204" t="n"/>
      <c r="Y16" s="204" t="n"/>
      <c r="Z16" s="204" t="n"/>
      <c r="AA16" s="204" t="n"/>
      <c r="AB16" s="204" t="n"/>
      <c r="AC16" s="204" t="n"/>
      <c r="AD16" s="204" t="n"/>
      <c r="AE16" s="204" t="n"/>
      <c r="AF16" s="204" t="n"/>
      <c r="AG16" s="204" t="n"/>
      <c r="AH16" s="204" t="n"/>
      <c r="AI16" s="204" t="n"/>
      <c r="AJ16" s="204" t="n"/>
      <c r="AK16" s="204" t="n"/>
      <c r="AL16" s="171" t="n"/>
      <c r="AM16" s="184" t="n"/>
      <c r="AN16" s="184" t="n"/>
      <c r="AO16" s="184" t="n"/>
      <c r="AP16" s="184" t="n"/>
      <c r="AQ16" s="184" t="n"/>
      <c r="AR16" s="184" t="n"/>
      <c r="AU16" s="204" t="n"/>
      <c r="AV16" s="204" t="n"/>
      <c r="AW16" s="204" t="n"/>
      <c r="AX16" s="204" t="n"/>
      <c r="AY16" s="204" t="n"/>
      <c r="AZ16" s="204" t="n"/>
      <c r="BA16" s="204" t="n"/>
      <c r="BB16" s="204" t="n"/>
      <c r="BC16" s="94" t="n"/>
    </row>
    <row r="17" ht="15.75" customHeight="1" s="163">
      <c r="D17" s="94" t="n"/>
      <c r="E17" s="94" t="n"/>
      <c r="F17" s="94" t="n"/>
      <c r="G17" s="94" t="n"/>
      <c r="H17" s="94" t="n"/>
      <c r="I17" s="177" t="n"/>
      <c r="J17" s="81" t="n"/>
      <c r="K17" s="208" t="n">
        <v>1544</v>
      </c>
      <c r="L17" s="208" t="n"/>
      <c r="M17" s="82" t="n"/>
      <c r="N17" s="77" t="n"/>
      <c r="O17" s="77" t="n"/>
      <c r="P17" s="77" t="n"/>
      <c r="Q17" s="77" t="n"/>
      <c r="R17" s="77" t="n"/>
      <c r="S17" s="77" t="n"/>
      <c r="T17" s="77" t="n"/>
      <c r="U17" s="77" t="n"/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  <c r="AJ17" s="77" t="n"/>
      <c r="AK17" s="77" t="n"/>
      <c r="AL17" s="83" t="n"/>
      <c r="AM17" s="94" t="n"/>
      <c r="AN17" s="94" t="n"/>
      <c r="AO17" s="94" t="n"/>
      <c r="AP17" s="94" t="n"/>
      <c r="AQ17" s="94" t="n"/>
      <c r="AR17" s="94" t="n"/>
      <c r="AS17" s="94" t="n"/>
      <c r="AT17" s="94" t="n"/>
      <c r="AU17" s="94" t="n"/>
      <c r="AV17" s="94" t="n"/>
      <c r="AW17" s="94" t="n"/>
      <c r="AX17" s="94" t="n"/>
      <c r="AY17" s="94" t="n"/>
      <c r="AZ17" s="94" t="n"/>
      <c r="BA17" s="94" t="n"/>
      <c r="BB17" s="94" t="n"/>
      <c r="BC17" s="94" t="n"/>
    </row>
    <row r="18" ht="15.75" customHeight="1" s="163">
      <c r="D18" s="94" t="n"/>
      <c r="E18" s="94" t="n"/>
      <c r="F18" s="94" t="n"/>
      <c r="G18" s="94" t="n"/>
      <c r="H18" s="94" t="n"/>
      <c r="I18" s="177" t="n"/>
      <c r="J18" s="81" t="n"/>
      <c r="K18" s="208" t="n">
        <v>1545</v>
      </c>
      <c r="L18" s="208" t="n"/>
      <c r="M18" s="82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83" t="n"/>
      <c r="AM18" s="94" t="n"/>
      <c r="AN18" s="94" t="n"/>
      <c r="AO18" s="94" t="n"/>
      <c r="AP18" s="94" t="n"/>
      <c r="AQ18" s="94" t="n"/>
      <c r="AR18" s="94" t="n"/>
      <c r="AS18" s="94" t="n"/>
      <c r="AT18" s="94" t="n"/>
      <c r="AU18" s="94" t="n"/>
      <c r="AV18" s="94" t="n"/>
      <c r="AW18" s="94" t="n"/>
      <c r="AX18" s="94" t="n"/>
      <c r="AY18" s="94" t="n"/>
      <c r="AZ18" s="94" t="n"/>
      <c r="BA18" s="94" t="n"/>
      <c r="BB18" s="94" t="n"/>
      <c r="BC18" s="94" t="n"/>
    </row>
    <row r="19" ht="15.75" customHeight="1" s="163">
      <c r="A19" s="167" t="inlineStr">
        <is>
          <t>Лиман</t>
        </is>
      </c>
      <c r="B19" s="165" t="n"/>
      <c r="D19" s="94" t="n"/>
      <c r="E19" s="94" t="n"/>
      <c r="F19" s="94" t="n"/>
      <c r="G19" s="94" t="n"/>
      <c r="H19" s="94" t="n"/>
      <c r="I19" s="177" t="n"/>
      <c r="J19" s="81" t="n"/>
      <c r="K19" s="208" t="n">
        <v>1546</v>
      </c>
      <c r="L19" s="208" t="n"/>
      <c r="M19" s="82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n"/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83" t="n"/>
      <c r="AM19" s="94" t="n"/>
      <c r="AN19" s="94" t="n"/>
      <c r="AO19" s="94" t="n"/>
      <c r="AP19" s="94" t="n"/>
      <c r="AQ19" s="94" t="n"/>
      <c r="AR19" s="94" t="n"/>
      <c r="AS19" s="94" t="n"/>
      <c r="AT19" s="94" t="n"/>
      <c r="AU19" s="94" t="n"/>
      <c r="AV19" s="94" t="n"/>
      <c r="AW19" s="94" t="n"/>
      <c r="AX19" s="94" t="n"/>
      <c r="AY19" s="94" t="n"/>
      <c r="AZ19" s="94" t="n"/>
      <c r="BA19" s="94" t="n"/>
      <c r="BB19" s="94" t="n"/>
      <c r="BC19" s="94" t="n"/>
    </row>
    <row r="20" ht="15.75" customHeight="1" s="163">
      <c r="A20" s="168" t="n"/>
      <c r="B20" s="169" t="n"/>
      <c r="D20" s="94" t="n"/>
      <c r="E20" s="94" t="n"/>
      <c r="F20" s="94" t="n"/>
      <c r="G20" s="94" t="n"/>
      <c r="H20" s="94" t="n"/>
      <c r="I20" s="177" t="n"/>
      <c r="J20" s="81" t="n"/>
      <c r="K20" s="208" t="n">
        <v>1547</v>
      </c>
      <c r="L20" s="208" t="n"/>
      <c r="M20" s="82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83" t="n"/>
      <c r="AM20" s="209" t="n"/>
      <c r="AN20" s="209" t="n"/>
      <c r="AO20" s="209" t="n"/>
      <c r="AP20" s="209" t="n"/>
      <c r="AQ20" s="209" t="n"/>
      <c r="AR20" s="209" t="n"/>
      <c r="AS20" s="209" t="n"/>
      <c r="AT20" s="209" t="n"/>
      <c r="AU20" s="94" t="n"/>
      <c r="AV20" s="94" t="n"/>
      <c r="AW20" s="94" t="n"/>
      <c r="AX20" s="94" t="n"/>
      <c r="AY20" s="94" t="n"/>
      <c r="AZ20" s="94" t="n"/>
      <c r="BA20" s="94" t="n"/>
      <c r="BB20" s="94" t="n"/>
      <c r="BC20" s="94" t="n"/>
    </row>
    <row r="21" ht="15.75" customHeight="1" s="163">
      <c r="A21" s="170" t="n"/>
      <c r="B21" s="171" t="n"/>
      <c r="D21" s="94" t="n"/>
      <c r="E21" s="94" t="n"/>
      <c r="F21" s="94" t="n"/>
      <c r="G21" s="94" t="n"/>
      <c r="H21" s="94" t="n"/>
      <c r="I21" s="177" t="n"/>
      <c r="J21" s="170" t="n"/>
      <c r="K21" s="208" t="n">
        <v>1548</v>
      </c>
      <c r="L21" s="208" t="n"/>
      <c r="M21" s="171" t="n"/>
      <c r="N21" s="204" t="n"/>
      <c r="O21" s="204" t="n"/>
      <c r="P21" s="204" t="n"/>
      <c r="Q21" s="77" t="n"/>
      <c r="R21" s="77" t="n"/>
      <c r="S21" s="204" t="n"/>
      <c r="T21" s="204" t="n"/>
      <c r="U21" s="204" t="n"/>
      <c r="V21" s="204" t="n"/>
      <c r="W21" s="204" t="n"/>
      <c r="X21" s="204" t="n"/>
      <c r="Y21" s="204" t="n"/>
      <c r="Z21" s="204" t="n"/>
      <c r="AA21" s="204" t="n"/>
      <c r="AB21" s="204" t="n"/>
      <c r="AC21" s="204" t="n"/>
      <c r="AD21" s="204" t="n"/>
      <c r="AE21" s="204" t="n"/>
      <c r="AF21" s="204" t="n"/>
      <c r="AG21" s="204" t="n"/>
      <c r="AH21" s="204" t="n"/>
      <c r="AI21" s="204" t="n"/>
      <c r="AJ21" s="204" t="n"/>
      <c r="AK21" s="204" t="n"/>
      <c r="AL21" s="171" t="n"/>
      <c r="AM21" s="184" t="n"/>
      <c r="AN21" s="184" t="n"/>
      <c r="AO21" s="184" t="n"/>
      <c r="AP21" s="184" t="n"/>
      <c r="AQ21" s="184" t="n"/>
      <c r="AR21" s="184" t="n"/>
      <c r="AS21" s="184" t="n"/>
      <c r="AT21" s="184" t="n"/>
      <c r="AU21" s="204" t="n"/>
      <c r="AV21" s="204" t="n"/>
      <c r="AW21" s="204" t="n"/>
      <c r="AX21" s="204" t="n"/>
      <c r="AY21" s="204" t="n"/>
      <c r="AZ21" s="204" t="n"/>
      <c r="BA21" s="204" t="n"/>
      <c r="BB21" s="204" t="n"/>
      <c r="BC21" s="94" t="n"/>
    </row>
    <row r="22" ht="15.75" customHeight="1" s="163">
      <c r="A22" s="212" t="inlineStr">
        <is>
          <t>Вид на виноградники, лиман</t>
        </is>
      </c>
      <c r="B22" s="165" t="n"/>
      <c r="C22" s="213" t="n"/>
      <c r="D22" s="94" t="n"/>
      <c r="E22" s="94" t="n"/>
      <c r="F22" s="94" t="n"/>
      <c r="G22" s="94" t="n"/>
      <c r="H22" s="94" t="n"/>
      <c r="I22" s="177" t="n"/>
      <c r="J22" s="81" t="n"/>
      <c r="K22" s="208" t="n">
        <v>1549</v>
      </c>
      <c r="L22" s="208" t="n"/>
      <c r="M22" s="82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83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94" t="n"/>
      <c r="AV22" s="94" t="n"/>
      <c r="AW22" s="94" t="n"/>
      <c r="AX22" s="94" t="n"/>
      <c r="AY22" s="94" t="n"/>
      <c r="AZ22" s="94" t="n"/>
      <c r="BA22" s="94" t="n"/>
      <c r="BB22" s="94" t="n"/>
      <c r="BC22" s="94" t="n"/>
    </row>
    <row r="23" ht="15.75" customHeight="1" s="163">
      <c r="A23" s="168" t="n"/>
      <c r="B23" s="169" t="n"/>
      <c r="C23" s="169" t="n"/>
      <c r="D23" s="94" t="n"/>
      <c r="E23" s="94" t="n"/>
      <c r="F23" s="94" t="n"/>
      <c r="G23" s="94" t="n"/>
      <c r="H23" s="94" t="n"/>
      <c r="I23" s="177" t="n"/>
      <c r="J23" s="170" t="n"/>
      <c r="K23" s="208" t="n">
        <v>1550</v>
      </c>
      <c r="L23" s="208" t="n"/>
      <c r="M23" s="171" t="n"/>
      <c r="N23" s="204" t="n"/>
      <c r="O23" s="204" t="n"/>
      <c r="P23" s="204" t="n"/>
      <c r="Q23" s="77" t="n"/>
      <c r="R23" s="77" t="n"/>
      <c r="S23" s="204" t="n"/>
      <c r="T23" s="204" t="n"/>
      <c r="U23" s="204" t="n"/>
      <c r="V23" s="204" t="n"/>
      <c r="W23" s="204" t="n"/>
      <c r="X23" s="204" t="n"/>
      <c r="Y23" s="204" t="n"/>
      <c r="Z23" s="204" t="n"/>
      <c r="AA23" s="204" t="n"/>
      <c r="AB23" s="204" t="n"/>
      <c r="AC23" s="204" t="n"/>
      <c r="AD23" s="204" t="n"/>
      <c r="AE23" s="204" t="n"/>
      <c r="AF23" s="204" t="n"/>
      <c r="AG23" s="204" t="n"/>
      <c r="AH23" s="204" t="n"/>
      <c r="AI23" s="204" t="n"/>
      <c r="AJ23" s="204" t="n"/>
      <c r="AK23" s="204" t="n"/>
      <c r="AL23" s="171" t="n"/>
      <c r="AM23" s="184" t="n"/>
      <c r="AN23" s="184" t="n"/>
      <c r="AO23" s="184" t="n"/>
      <c r="AP23" s="184" t="n"/>
      <c r="AQ23" s="184" t="n"/>
      <c r="AR23" s="184" t="n"/>
      <c r="AS23" s="184" t="n"/>
      <c r="AT23" s="184" t="n"/>
      <c r="AU23" s="204" t="n"/>
      <c r="AV23" s="204" t="n"/>
      <c r="AW23" s="204" t="n"/>
      <c r="AX23" s="204" t="n"/>
      <c r="AY23" s="204" t="n"/>
      <c r="AZ23" s="204" t="n"/>
      <c r="BA23" s="204" t="n"/>
      <c r="BB23" s="204" t="n"/>
      <c r="BC23" s="94" t="n"/>
    </row>
    <row r="24" ht="15.75" customHeight="1" s="163">
      <c r="A24" s="170" t="n"/>
      <c r="B24" s="171" t="n"/>
      <c r="C24" s="169" t="n"/>
      <c r="D24" s="94" t="n"/>
      <c r="E24" s="94" t="n"/>
      <c r="F24" s="94" t="n"/>
      <c r="G24" s="94" t="n"/>
      <c r="H24" s="94" t="n"/>
      <c r="I24" s="177" t="n"/>
      <c r="J24" s="81" t="n"/>
      <c r="K24" s="208" t="n">
        <v>1551</v>
      </c>
      <c r="L24" s="208" t="n"/>
      <c r="M24" s="82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83" t="n"/>
      <c r="AM24" s="94" t="n"/>
      <c r="AN24" s="94" t="n"/>
      <c r="AO24" s="94" t="n"/>
      <c r="AP24" s="94" t="n"/>
      <c r="AQ24" s="94" t="n"/>
      <c r="AR24" s="94" t="n"/>
      <c r="AS24" s="94" t="n"/>
      <c r="AT24" s="94" t="n"/>
      <c r="AU24" s="94" t="n"/>
      <c r="AV24" s="94" t="n"/>
      <c r="AW24" s="94" t="n"/>
      <c r="AX24" s="94" t="n"/>
      <c r="AY24" s="94" t="n"/>
      <c r="AZ24" s="94" t="n"/>
      <c r="BA24" s="94" t="n"/>
      <c r="BB24" s="94" t="n"/>
      <c r="BC24" s="94" t="n"/>
    </row>
    <row r="25" ht="15.75" customHeight="1" s="163">
      <c r="A25" s="214" t="inlineStr">
        <is>
          <t>Вид на море и лиманы</t>
        </is>
      </c>
      <c r="B25" s="165" t="n"/>
      <c r="C25" s="169" t="n"/>
      <c r="D25" s="94" t="n"/>
      <c r="E25" s="94" t="n"/>
      <c r="F25" s="94" t="n"/>
      <c r="G25" s="94" t="n"/>
      <c r="H25" s="94" t="n"/>
      <c r="I25" s="177" t="n"/>
      <c r="J25" s="81" t="n"/>
      <c r="K25" s="208" t="n">
        <v>1552</v>
      </c>
      <c r="L25" s="208" t="n"/>
      <c r="M25" s="82" t="n"/>
      <c r="N25" s="77" t="n"/>
      <c r="O25" s="77" t="n"/>
      <c r="P25" s="77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n"/>
      <c r="Z25" s="77" t="n"/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  <c r="AJ25" s="77" t="n"/>
      <c r="AK25" s="77" t="n"/>
      <c r="AL25" s="83" t="n"/>
      <c r="AM25" s="94" t="n"/>
      <c r="AN25" s="94" t="n"/>
      <c r="AO25" s="94" t="n"/>
      <c r="AP25" s="94" t="n"/>
      <c r="AQ25" s="94" t="n"/>
      <c r="AR25" s="94" t="n"/>
      <c r="AS25" s="94" t="n"/>
      <c r="AT25" s="94" t="n"/>
      <c r="AU25" s="94" t="n"/>
      <c r="AV25" s="94" t="n"/>
      <c r="AW25" s="94" t="n"/>
      <c r="AX25" s="94" t="n"/>
      <c r="AY25" s="94" t="n"/>
      <c r="AZ25" s="94" t="n"/>
      <c r="BA25" s="94" t="n"/>
      <c r="BB25" s="94" t="n"/>
      <c r="BC25" s="94" t="n"/>
    </row>
    <row r="26" ht="15.75" customHeight="1" s="163">
      <c r="A26" s="168" t="n"/>
      <c r="B26" s="169" t="n"/>
      <c r="C26" s="169" t="n"/>
      <c r="D26" s="94" t="n"/>
      <c r="E26" s="94" t="n"/>
      <c r="F26" s="94" t="n"/>
      <c r="G26" s="94" t="n"/>
      <c r="H26" s="94" t="n"/>
      <c r="I26" s="177" t="n"/>
      <c r="J26" s="81" t="n"/>
      <c r="K26" s="208" t="n">
        <v>1553</v>
      </c>
      <c r="L26" s="208" t="n"/>
      <c r="M26" s="82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83" t="n"/>
      <c r="AM26" s="94" t="n"/>
      <c r="AN26" s="94" t="n"/>
      <c r="AO26" s="94" t="n"/>
      <c r="AP26" s="94" t="n"/>
      <c r="AQ26" s="94" t="n"/>
      <c r="AR26" s="94" t="n"/>
      <c r="AS26" s="94" t="n"/>
      <c r="AT26" s="94" t="n"/>
      <c r="AU26" s="94" t="n"/>
      <c r="AV26" s="94" t="n"/>
      <c r="AW26" s="94" t="n"/>
      <c r="AX26" s="94" t="n"/>
      <c r="AY26" s="94" t="n"/>
      <c r="AZ26" s="94" t="n"/>
      <c r="BA26" s="94" t="n"/>
      <c r="BB26" s="94" t="n"/>
      <c r="BC26" s="94" t="n"/>
    </row>
    <row r="27" ht="15.75" customHeight="1" s="163">
      <c r="A27" s="170" t="n"/>
      <c r="B27" s="171" t="n"/>
      <c r="C27" s="169" t="n"/>
      <c r="D27" s="94" t="n"/>
      <c r="E27" s="94" t="n"/>
      <c r="F27" s="94" t="n"/>
      <c r="G27" s="94" t="n"/>
      <c r="H27" s="94" t="n"/>
      <c r="I27" s="177" t="n"/>
      <c r="J27" s="81" t="n"/>
      <c r="K27" s="208" t="n">
        <v>1572</v>
      </c>
      <c r="L27" s="208" t="n"/>
      <c r="M27" s="82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n"/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83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94" t="n"/>
      <c r="AV27" s="94" t="n"/>
      <c r="AW27" s="94" t="n"/>
      <c r="AX27" s="94" t="n"/>
      <c r="AY27" s="94" t="n"/>
      <c r="AZ27" s="94" t="n"/>
      <c r="BA27" s="94" t="n"/>
      <c r="BB27" s="94" t="n"/>
      <c r="BC27" s="94" t="n"/>
    </row>
    <row r="28" ht="15.75" customHeight="1" s="163">
      <c r="A28" s="215" t="inlineStr">
        <is>
          <t>Вид бугазскую косу</t>
        </is>
      </c>
      <c r="B28" s="165" t="n"/>
      <c r="C28" s="169" t="n"/>
      <c r="D28" s="94" t="n"/>
      <c r="E28" s="94" t="n"/>
      <c r="F28" s="94" t="n"/>
      <c r="G28" s="94" t="n"/>
      <c r="H28" s="94" t="n"/>
      <c r="I28" s="177" t="n"/>
      <c r="J28" s="170" t="n"/>
      <c r="K28" s="208" t="n">
        <v>1573</v>
      </c>
      <c r="L28" s="208" t="n"/>
      <c r="M28" s="171" t="n"/>
      <c r="N28" s="204" t="n"/>
      <c r="O28" s="204" t="n"/>
      <c r="P28" s="204" t="n"/>
      <c r="Q28" s="77" t="n"/>
      <c r="R28" s="77" t="n"/>
      <c r="S28" s="204" t="n"/>
      <c r="T28" s="204" t="n"/>
      <c r="U28" s="204" t="n"/>
      <c r="V28" s="204" t="n"/>
      <c r="W28" s="204" t="n"/>
      <c r="X28" s="204" t="n"/>
      <c r="Y28" s="204" t="n"/>
      <c r="Z28" s="204" t="n"/>
      <c r="AA28" s="204" t="n"/>
      <c r="AB28" s="204" t="n"/>
      <c r="AC28" s="204" t="n"/>
      <c r="AD28" s="204" t="n"/>
      <c r="AE28" s="204" t="n"/>
      <c r="AF28" s="204" t="n"/>
      <c r="AG28" s="204" t="n"/>
      <c r="AH28" s="204" t="n"/>
      <c r="AI28" s="204" t="n"/>
      <c r="AJ28" s="204" t="n"/>
      <c r="AK28" s="204" t="n"/>
      <c r="AL28" s="171" t="n"/>
      <c r="AM28" s="184" t="n"/>
      <c r="AN28" s="184" t="n"/>
      <c r="AO28" s="184" t="n"/>
      <c r="AP28" s="184" t="n"/>
      <c r="AQ28" s="184" t="n"/>
      <c r="AR28" s="184" t="n"/>
      <c r="AS28" s="184" t="n"/>
      <c r="AT28" s="184" t="n"/>
      <c r="AU28" s="204" t="n"/>
      <c r="AV28" s="204" t="n"/>
      <c r="AW28" s="204" t="n"/>
      <c r="AX28" s="204" t="n"/>
      <c r="AY28" s="204" t="n"/>
      <c r="AZ28" s="204" t="n"/>
      <c r="BA28" s="204" t="n"/>
      <c r="BB28" s="204" t="n"/>
      <c r="BC28" s="83" t="n"/>
    </row>
    <row r="29" ht="15.75" customHeight="1" s="163">
      <c r="A29" s="168" t="n"/>
      <c r="B29" s="169" t="n"/>
      <c r="C29" s="169" t="n"/>
      <c r="D29" s="94" t="n"/>
      <c r="E29" s="94" t="n"/>
      <c r="F29" s="94" t="n"/>
      <c r="G29" s="94" t="n"/>
      <c r="H29" s="94" t="n"/>
      <c r="I29" s="177" t="n"/>
      <c r="J29" s="81" t="n"/>
      <c r="K29" s="208" t="n">
        <v>1574</v>
      </c>
      <c r="L29" s="208" t="n"/>
      <c r="M29" s="82" t="n"/>
      <c r="N29" s="77" t="n"/>
      <c r="O29" s="77" t="n"/>
      <c r="P29" s="77" t="n"/>
      <c r="Q29" s="77" t="n"/>
      <c r="R29" s="77" t="n"/>
      <c r="S29" s="77" t="n"/>
      <c r="T29" s="77" t="n"/>
      <c r="U29" s="77" t="n"/>
      <c r="V29" s="77" t="n"/>
      <c r="W29" s="77" t="n"/>
      <c r="X29" s="77" t="n"/>
      <c r="Y29" s="77" t="n"/>
      <c r="Z29" s="77" t="n"/>
      <c r="AA29" s="77" t="n"/>
      <c r="AB29" s="77" t="n"/>
      <c r="AC29" s="77" t="n"/>
      <c r="AD29" s="77" t="n"/>
      <c r="AE29" s="77" t="n"/>
      <c r="AF29" s="77" t="n"/>
      <c r="AG29" s="77" t="n"/>
      <c r="AH29" s="77" t="n"/>
      <c r="AI29" s="77" t="n"/>
      <c r="AJ29" s="77" t="n"/>
      <c r="AK29" s="77" t="n"/>
      <c r="AL29" s="83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94" t="n"/>
      <c r="AV29" s="94" t="n"/>
      <c r="AW29" s="94" t="n"/>
      <c r="AX29" s="94" t="n"/>
      <c r="AY29" s="94" t="n"/>
      <c r="AZ29" s="94" t="n"/>
      <c r="BA29" s="94" t="n"/>
      <c r="BB29" s="94" t="n"/>
      <c r="BC29" s="83" t="n"/>
    </row>
    <row r="30" ht="15.75" customHeight="1" s="163">
      <c r="A30" s="170" t="n"/>
      <c r="B30" s="171" t="n"/>
      <c r="C30" s="169" t="n"/>
      <c r="D30" s="94" t="n"/>
      <c r="E30" s="94" t="n"/>
      <c r="F30" s="94" t="n"/>
      <c r="G30" s="94" t="n"/>
      <c r="H30" s="94" t="n"/>
      <c r="I30" s="177" t="n"/>
      <c r="J30" s="170" t="n"/>
      <c r="K30" s="208" t="n">
        <v>1575</v>
      </c>
      <c r="L30" s="208" t="n"/>
      <c r="M30" s="171" t="n"/>
      <c r="N30" s="204" t="n"/>
      <c r="O30" s="204" t="n"/>
      <c r="P30" s="204" t="n"/>
      <c r="Q30" s="77" t="n"/>
      <c r="R30" s="77" t="n"/>
      <c r="S30" s="204" t="n"/>
      <c r="T30" s="204" t="n"/>
      <c r="U30" s="204" t="n"/>
      <c r="V30" s="204" t="n"/>
      <c r="W30" s="204" t="n"/>
      <c r="X30" s="204" t="n"/>
      <c r="Y30" s="204" t="n"/>
      <c r="Z30" s="204" t="n"/>
      <c r="AA30" s="204" t="n"/>
      <c r="AB30" s="204" t="n"/>
      <c r="AC30" s="204" t="n"/>
      <c r="AD30" s="204" t="n"/>
      <c r="AE30" s="204" t="n"/>
      <c r="AF30" s="204" t="n"/>
      <c r="AG30" s="204" t="n"/>
      <c r="AH30" s="204" t="n"/>
      <c r="AI30" s="204" t="n"/>
      <c r="AJ30" s="204" t="n"/>
      <c r="AK30" s="204" t="n"/>
      <c r="AL30" s="171" t="n"/>
      <c r="AM30" s="184" t="n"/>
      <c r="AN30" s="184" t="n"/>
      <c r="AO30" s="184" t="n"/>
      <c r="AP30" s="184" t="n"/>
      <c r="AQ30" s="184" t="n"/>
      <c r="AR30" s="184" t="n"/>
      <c r="AS30" s="184" t="n"/>
      <c r="AT30" s="184" t="n"/>
      <c r="AU30" s="204" t="n"/>
      <c r="AV30" s="204" t="n"/>
      <c r="AW30" s="204" t="n"/>
      <c r="AX30" s="204" t="n"/>
      <c r="AY30" s="204" t="n"/>
      <c r="AZ30" s="204" t="n"/>
      <c r="BA30" s="204" t="n"/>
      <c r="BB30" s="204" t="n"/>
      <c r="BC30" s="83" t="n"/>
    </row>
    <row r="31" ht="15.75" customHeight="1" s="163">
      <c r="A31" s="216" t="n"/>
      <c r="C31" s="169" t="n"/>
      <c r="D31" s="94" t="n"/>
      <c r="E31" s="94" t="n"/>
      <c r="F31" s="94" t="n"/>
      <c r="G31" s="94" t="n"/>
      <c r="H31" s="94" t="n"/>
      <c r="I31" s="204" t="n"/>
      <c r="J31" s="81" t="n"/>
      <c r="K31" s="208" t="n">
        <v>1576</v>
      </c>
      <c r="L31" s="208" t="n"/>
      <c r="M31" s="82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77" t="n"/>
      <c r="AH31" s="77" t="n"/>
      <c r="AI31" s="77" t="n"/>
      <c r="AJ31" s="77" t="n"/>
      <c r="AK31" s="77" t="n"/>
      <c r="AL31" s="83" t="n"/>
      <c r="AM31" s="94" t="n"/>
      <c r="AN31" s="94" t="n"/>
      <c r="AO31" s="94" t="n"/>
      <c r="AP31" s="94" t="n"/>
      <c r="AQ31" s="94" t="n"/>
      <c r="AR31" s="94" t="n"/>
      <c r="AS31" s="94" t="n"/>
      <c r="AT31" s="94" t="n"/>
      <c r="AU31" s="94" t="n"/>
      <c r="AV31" s="94" t="n"/>
      <c r="AW31" s="94" t="n"/>
      <c r="AX31" s="94" t="n"/>
      <c r="AY31" s="94" t="n"/>
      <c r="AZ31" s="94" t="n"/>
      <c r="BA31" s="94" t="n"/>
      <c r="BB31" s="94" t="n"/>
      <c r="BC31" s="83" t="n"/>
    </row>
    <row r="32" ht="15.75" customHeight="1" s="163">
      <c r="A32" s="168" t="n"/>
      <c r="C32" s="169" t="n"/>
      <c r="D32" s="94" t="n"/>
      <c r="E32" s="94" t="n"/>
      <c r="F32" s="94" t="n"/>
      <c r="G32" s="94" t="n"/>
      <c r="H32" s="94" t="n"/>
      <c r="I32" s="217" t="n"/>
      <c r="J32" s="81" t="n"/>
      <c r="K32" s="208" t="n">
        <v>1577</v>
      </c>
      <c r="L32" s="208" t="n"/>
      <c r="M32" s="82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83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94" t="n"/>
      <c r="AV32" s="94" t="n"/>
      <c r="AW32" s="94" t="n"/>
      <c r="AX32" s="94" t="n"/>
      <c r="AY32" s="94" t="n"/>
      <c r="AZ32" s="94" t="n"/>
      <c r="BA32" s="94" t="n"/>
      <c r="BB32" s="94" t="n"/>
      <c r="BC32" s="83" t="n"/>
    </row>
    <row r="33" ht="15.75" customHeight="1" s="163">
      <c r="A33" s="168" t="n"/>
      <c r="C33" s="169" t="n"/>
      <c r="D33" s="94" t="n"/>
      <c r="E33" s="94" t="n"/>
      <c r="F33" s="94" t="n"/>
      <c r="G33" s="94" t="n"/>
      <c r="H33" s="94" t="n"/>
      <c r="I33" s="168" t="n"/>
      <c r="J33" s="81" t="n"/>
      <c r="K33" s="208" t="n">
        <v>1578</v>
      </c>
      <c r="L33" s="208" t="n"/>
      <c r="M33" s="82" t="n"/>
      <c r="N33" s="77" t="n"/>
      <c r="O33" s="77" t="n"/>
      <c r="P33" s="77" t="n"/>
      <c r="Q33" s="77" t="n"/>
      <c r="R33" s="77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n"/>
      <c r="AC33" s="77" t="n"/>
      <c r="AD33" s="77" t="n"/>
      <c r="AE33" s="77" t="n"/>
      <c r="AF33" s="77" t="n"/>
      <c r="AG33" s="77" t="n"/>
      <c r="AH33" s="77" t="n"/>
      <c r="AI33" s="77" t="n"/>
      <c r="AJ33" s="77" t="n"/>
      <c r="AK33" s="77" t="n"/>
      <c r="AL33" s="83" t="n"/>
      <c r="AM33" s="94" t="n"/>
      <c r="AN33" s="94" t="n"/>
      <c r="AO33" s="94" t="n"/>
      <c r="AP33" s="94" t="n"/>
      <c r="AQ33" s="94" t="n"/>
      <c r="AR33" s="94" t="n"/>
      <c r="AS33" s="94" t="n"/>
      <c r="AT33" s="94" t="n"/>
      <c r="AU33" s="94" t="n"/>
      <c r="AV33" s="94" t="n"/>
      <c r="AW33" s="94" t="n"/>
      <c r="AX33" s="94" t="n"/>
      <c r="AY33" s="94" t="n"/>
      <c r="AZ33" s="94" t="n"/>
      <c r="BA33" s="94" t="n"/>
      <c r="BB33" s="94" t="n"/>
      <c r="BC33" s="83" t="n"/>
    </row>
    <row r="34" ht="15.75" customHeight="1" s="163">
      <c r="A34" s="168" t="n"/>
      <c r="C34" s="169" t="n"/>
      <c r="D34" s="94" t="n"/>
      <c r="E34" s="94" t="n"/>
      <c r="F34" s="94" t="n"/>
      <c r="G34" s="94" t="n"/>
      <c r="H34" s="94" t="n"/>
      <c r="I34" s="168" t="n"/>
      <c r="J34" s="81" t="n"/>
      <c r="K34" s="208" t="n">
        <v>1579</v>
      </c>
      <c r="L34" s="208" t="n"/>
      <c r="M34" s="82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83" t="n"/>
      <c r="AM34" s="209" t="n"/>
      <c r="AN34" s="209" t="n"/>
      <c r="AO34" s="209" t="n"/>
      <c r="AP34" s="209" t="n"/>
      <c r="AQ34" s="209" t="n"/>
      <c r="AR34" s="209" t="n"/>
      <c r="AS34" s="209" t="n"/>
      <c r="AT34" s="209" t="n"/>
      <c r="AU34" s="94" t="n"/>
      <c r="AV34" s="94" t="n"/>
      <c r="AW34" s="94" t="n"/>
      <c r="AX34" s="94" t="n"/>
      <c r="AY34" s="94" t="n"/>
      <c r="AZ34" s="94" t="n"/>
      <c r="BA34" s="94" t="n"/>
      <c r="BB34" s="94" t="n"/>
      <c r="BC34" s="83" t="n"/>
    </row>
    <row r="35" ht="15.75" customHeight="1" s="163">
      <c r="A35" s="168" t="n"/>
      <c r="C35" s="169" t="n"/>
      <c r="D35" s="94" t="n"/>
      <c r="E35" s="94" t="n"/>
      <c r="F35" s="94" t="n"/>
      <c r="G35" s="94" t="n"/>
      <c r="H35" s="94" t="n"/>
      <c r="I35" s="168" t="n"/>
      <c r="J35" s="170" t="n"/>
      <c r="K35" s="208" t="n">
        <v>1580</v>
      </c>
      <c r="L35" s="208" t="n"/>
      <c r="M35" s="171" t="n"/>
      <c r="N35" s="204" t="n"/>
      <c r="O35" s="204" t="n"/>
      <c r="P35" s="204" t="n"/>
      <c r="Q35" s="77" t="n"/>
      <c r="R35" s="77" t="n"/>
      <c r="S35" s="204" t="n"/>
      <c r="T35" s="204" t="n"/>
      <c r="U35" s="204" t="n"/>
      <c r="V35" s="204" t="n"/>
      <c r="W35" s="204" t="n"/>
      <c r="X35" s="204" t="n"/>
      <c r="Y35" s="204" t="n"/>
      <c r="Z35" s="204" t="n"/>
      <c r="AA35" s="204" t="n"/>
      <c r="AB35" s="204" t="n"/>
      <c r="AC35" s="204" t="n"/>
      <c r="AD35" s="204" t="n"/>
      <c r="AE35" s="204" t="n"/>
      <c r="AF35" s="204" t="n"/>
      <c r="AG35" s="204" t="n"/>
      <c r="AH35" s="204" t="n"/>
      <c r="AI35" s="204" t="n"/>
      <c r="AJ35" s="204" t="n"/>
      <c r="AK35" s="204" t="n"/>
      <c r="AL35" s="171" t="n"/>
      <c r="AM35" s="184" t="n"/>
      <c r="AN35" s="184" t="n"/>
      <c r="AO35" s="184" t="n"/>
      <c r="AP35" s="184" t="n"/>
      <c r="AQ35" s="184" t="n"/>
      <c r="AR35" s="184" t="n"/>
      <c r="AS35" s="184" t="n"/>
      <c r="AT35" s="184" t="n"/>
      <c r="AU35" s="204" t="n"/>
      <c r="AV35" s="204" t="n"/>
      <c r="AW35" s="204" t="n"/>
      <c r="AX35" s="204" t="n"/>
      <c r="AY35" s="204" t="n"/>
      <c r="AZ35" s="204" t="n"/>
      <c r="BA35" s="204" t="n"/>
      <c r="BB35" s="204" t="n"/>
      <c r="BC35" s="83" t="n"/>
    </row>
    <row r="36" ht="15.75" customHeight="1" s="163">
      <c r="A36" s="170" t="n"/>
      <c r="B36" s="178" t="n"/>
      <c r="C36" s="171" t="n"/>
      <c r="D36" s="94" t="n"/>
      <c r="E36" s="94" t="n"/>
      <c r="F36" s="94" t="n"/>
      <c r="G36" s="94" t="n"/>
      <c r="H36" s="94" t="n"/>
      <c r="I36" s="168" t="n"/>
      <c r="J36" s="81" t="n"/>
      <c r="K36" s="208" t="n">
        <v>1581</v>
      </c>
      <c r="L36" s="208" t="n"/>
      <c r="M36" s="82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83" t="n"/>
      <c r="AM36" s="209" t="n"/>
      <c r="AN36" s="209" t="n"/>
      <c r="AO36" s="209" t="n"/>
      <c r="AP36" s="209" t="n"/>
      <c r="AQ36" s="209" t="n"/>
      <c r="AR36" s="209" t="n"/>
      <c r="AS36" s="209" t="n"/>
      <c r="AT36" s="209" t="n"/>
      <c r="AU36" s="94" t="n"/>
      <c r="AV36" s="94" t="n"/>
      <c r="AW36" s="94" t="n"/>
      <c r="AX36" s="94" t="n"/>
      <c r="AY36" s="94" t="n"/>
      <c r="AZ36" s="94" t="n"/>
      <c r="BA36" s="94" t="n"/>
      <c r="BB36" s="94" t="n"/>
      <c r="BC36" s="83" t="n"/>
    </row>
    <row r="37" ht="15.75" customHeight="1" s="163">
      <c r="A37" s="92" t="n"/>
      <c r="B37" s="218" t="n"/>
      <c r="C37" s="165" t="n"/>
      <c r="D37" s="94" t="n"/>
      <c r="E37" s="94" t="n"/>
      <c r="F37" s="94" t="n"/>
      <c r="G37" s="94" t="n"/>
      <c r="H37" s="94" t="n"/>
      <c r="I37" s="168" t="n"/>
      <c r="J37" s="170" t="n"/>
      <c r="K37" s="208" t="n">
        <v>1582</v>
      </c>
      <c r="L37" s="208" t="n"/>
      <c r="M37" s="171" t="n"/>
      <c r="N37" s="204" t="n"/>
      <c r="O37" s="204" t="n"/>
      <c r="P37" s="204" t="n"/>
      <c r="Q37" s="77" t="n"/>
      <c r="R37" s="77" t="n"/>
      <c r="S37" s="204" t="n"/>
      <c r="T37" s="204" t="n"/>
      <c r="U37" s="204" t="n"/>
      <c r="V37" s="204" t="n"/>
      <c r="W37" s="204" t="n"/>
      <c r="X37" s="204" t="n"/>
      <c r="Y37" s="204" t="n"/>
      <c r="Z37" s="204" t="n"/>
      <c r="AA37" s="204" t="n"/>
      <c r="AB37" s="204" t="n"/>
      <c r="AC37" s="204" t="n"/>
      <c r="AD37" s="204" t="n"/>
      <c r="AE37" s="204" t="n"/>
      <c r="AF37" s="204" t="n"/>
      <c r="AG37" s="204" t="n"/>
      <c r="AH37" s="204" t="n"/>
      <c r="AI37" s="204" t="n"/>
      <c r="AJ37" s="204" t="n"/>
      <c r="AK37" s="204" t="n"/>
      <c r="AL37" s="171" t="n"/>
      <c r="AM37" s="184" t="n"/>
      <c r="AN37" s="184" t="n"/>
      <c r="AO37" s="184" t="n"/>
      <c r="AP37" s="184" t="n"/>
      <c r="AQ37" s="184" t="n"/>
      <c r="AR37" s="184" t="n"/>
      <c r="AS37" s="184" t="n"/>
      <c r="AT37" s="184" t="n"/>
      <c r="AU37" s="204" t="n"/>
      <c r="AV37" s="204" t="n"/>
      <c r="AW37" s="204" t="n"/>
      <c r="AX37" s="204" t="n"/>
      <c r="AY37" s="204" t="n"/>
      <c r="AZ37" s="204" t="n"/>
      <c r="BA37" s="204" t="n"/>
      <c r="BB37" s="204" t="n"/>
      <c r="BC37" s="83" t="n"/>
    </row>
    <row r="38" ht="15.75" customHeight="1" s="163">
      <c r="A38" s="94" t="n"/>
      <c r="B38" s="168" t="n"/>
      <c r="C38" s="169" t="n"/>
      <c r="D38" s="94" t="n"/>
      <c r="E38" s="94" t="n"/>
      <c r="F38" s="94" t="n"/>
      <c r="G38" s="94" t="n"/>
      <c r="H38" s="94" t="n"/>
      <c r="I38" s="168" t="n"/>
      <c r="J38" s="81" t="n"/>
      <c r="K38" s="208" t="n">
        <v>1583</v>
      </c>
      <c r="L38" s="208" t="n"/>
      <c r="M38" s="82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83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4" t="n"/>
      <c r="AV38" s="94" t="n"/>
      <c r="AW38" s="94" t="n"/>
      <c r="AX38" s="94" t="n"/>
      <c r="AY38" s="94" t="n"/>
      <c r="AZ38" s="94" t="n"/>
      <c r="BA38" s="94" t="n"/>
      <c r="BB38" s="94" t="n"/>
      <c r="BC38" s="83" t="n"/>
    </row>
    <row r="39" ht="15.75" customHeight="1" s="163">
      <c r="A39" s="94" t="n"/>
      <c r="B39" s="170" t="n"/>
      <c r="C39" s="171" t="n"/>
      <c r="D39" s="219" t="n"/>
      <c r="H39" s="169" t="n"/>
      <c r="I39" s="168" t="n"/>
      <c r="J39" s="81" t="n"/>
      <c r="K39" s="208" t="n">
        <v>1584</v>
      </c>
      <c r="L39" s="208" t="n"/>
      <c r="M39" s="82" t="n"/>
      <c r="N39" s="77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n"/>
      <c r="AE39" s="77" t="n"/>
      <c r="AF39" s="77" t="n"/>
      <c r="AG39" s="77" t="n"/>
      <c r="AH39" s="77" t="n"/>
      <c r="AI39" s="77" t="n"/>
      <c r="AJ39" s="77" t="n"/>
      <c r="AK39" s="77" t="n"/>
      <c r="AL39" s="83" t="n"/>
      <c r="AM39" s="94" t="n"/>
      <c r="AN39" s="94" t="n"/>
      <c r="AO39" s="94" t="n"/>
      <c r="AP39" s="94" t="n"/>
      <c r="AQ39" s="94" t="n"/>
      <c r="AR39" s="94" t="n"/>
      <c r="AS39" s="94" t="n"/>
      <c r="AT39" s="94" t="n"/>
      <c r="AU39" s="94" t="n"/>
      <c r="AV39" s="94" t="n"/>
      <c r="AW39" s="94" t="n"/>
      <c r="AX39" s="94" t="n"/>
      <c r="AY39" s="94" t="n"/>
      <c r="AZ39" s="94" t="n"/>
      <c r="BA39" s="94" t="n"/>
      <c r="BB39" s="94" t="n"/>
      <c r="BC39" s="83" t="n"/>
    </row>
    <row r="40" ht="15.75" customHeight="1" s="163">
      <c r="A40" s="94" t="n"/>
      <c r="B40" s="94" t="n"/>
      <c r="C40" s="94" t="n"/>
      <c r="D40" s="178" t="n"/>
      <c r="E40" s="178" t="n"/>
      <c r="F40" s="178" t="n"/>
      <c r="G40" s="178" t="n"/>
      <c r="H40" s="171" t="n"/>
      <c r="I40" s="170" t="n"/>
      <c r="J40" s="81" t="n"/>
      <c r="K40" s="208" t="n">
        <v>1585</v>
      </c>
      <c r="L40" s="208" t="n"/>
      <c r="M40" s="82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83" t="n"/>
      <c r="AM40" s="94" t="n"/>
      <c r="AN40" s="94" t="n"/>
      <c r="AO40" s="94" t="n"/>
      <c r="AP40" s="94" t="n"/>
      <c r="AQ40" s="94" t="n"/>
      <c r="AR40" s="94" t="n"/>
      <c r="AS40" s="94" t="n"/>
      <c r="AT40" s="94" t="n"/>
      <c r="AU40" s="94" t="n"/>
      <c r="AV40" s="94" t="n"/>
      <c r="AW40" s="94" t="n"/>
      <c r="AX40" s="94" t="n"/>
      <c r="AY40" s="94" t="n"/>
      <c r="AZ40" s="94" t="n"/>
      <c r="BA40" s="94" t="n"/>
      <c r="BB40" s="94" t="n"/>
      <c r="BC40" s="83" t="n"/>
    </row>
    <row r="41" ht="15.75" customHeight="1" s="163">
      <c r="A41" s="94" t="n"/>
      <c r="B41" s="94" t="n"/>
      <c r="C41" s="94" t="n"/>
      <c r="D41" s="94" t="n"/>
      <c r="E41" s="94" t="n"/>
      <c r="F41" s="94" t="n"/>
      <c r="G41" s="94" t="n"/>
      <c r="H41" s="94" t="n"/>
      <c r="I41" s="92" t="n"/>
      <c r="J41" s="77" t="n"/>
      <c r="K41" s="208" t="n">
        <v>1586</v>
      </c>
      <c r="L41" s="208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n"/>
      <c r="AE41" s="77" t="n"/>
      <c r="AF41" s="77" t="n"/>
      <c r="AG41" s="77" t="n"/>
      <c r="AH41" s="77" t="n"/>
      <c r="AI41" s="77" t="n"/>
      <c r="AJ41" s="77" t="n"/>
      <c r="AK41" s="77" t="n"/>
      <c r="AL41" s="83" t="n"/>
      <c r="AM41" s="209" t="n"/>
      <c r="AN41" s="209" t="n"/>
      <c r="AO41" s="209" t="n"/>
      <c r="AP41" s="209" t="n"/>
      <c r="AQ41" s="209" t="n"/>
      <c r="AR41" s="209" t="n"/>
      <c r="AS41" s="209" t="n"/>
      <c r="AT41" s="209" t="n"/>
      <c r="AU41" s="94" t="n"/>
      <c r="AV41" s="94" t="n"/>
      <c r="AW41" s="94" t="n"/>
      <c r="AX41" s="94" t="n"/>
      <c r="AY41" s="94" t="n"/>
      <c r="AZ41" s="94" t="n"/>
      <c r="BA41" s="94" t="n"/>
      <c r="BB41" s="94" t="n"/>
      <c r="BC41" s="83" t="n"/>
    </row>
    <row r="42" ht="15.75" customHeight="1" s="163">
      <c r="A42" s="94" t="n"/>
      <c r="B42" s="94" t="n"/>
      <c r="C42" s="94" t="n"/>
      <c r="D42" s="94" t="n"/>
      <c r="E42" s="94" t="n"/>
      <c r="F42" s="94" t="n"/>
      <c r="G42" s="94" t="n"/>
      <c r="H42" s="94" t="n"/>
      <c r="I42" s="92" t="n"/>
      <c r="J42" s="204" t="n"/>
      <c r="K42" s="220" t="n">
        <v>1587</v>
      </c>
      <c r="L42" s="220" t="n"/>
      <c r="M42" s="204" t="n"/>
      <c r="N42" s="204" t="n"/>
      <c r="O42" s="204" t="n"/>
      <c r="P42" s="204" t="n"/>
      <c r="Q42" s="77" t="n"/>
      <c r="R42" s="77" t="n"/>
      <c r="S42" s="204" t="n"/>
      <c r="T42" s="204" t="n"/>
      <c r="U42" s="204" t="n"/>
      <c r="V42" s="204" t="n"/>
      <c r="W42" s="204" t="n"/>
      <c r="X42" s="204" t="n"/>
      <c r="Y42" s="204" t="n"/>
      <c r="Z42" s="204" t="n"/>
      <c r="AA42" s="204" t="n"/>
      <c r="AB42" s="204" t="n"/>
      <c r="AC42" s="204" t="n"/>
      <c r="AD42" s="204" t="n"/>
      <c r="AE42" s="204" t="n"/>
      <c r="AF42" s="204" t="n"/>
      <c r="AG42" s="204" t="n"/>
      <c r="AH42" s="204" t="n"/>
      <c r="AI42" s="204" t="n"/>
      <c r="AJ42" s="204" t="n"/>
      <c r="AK42" s="204" t="n"/>
      <c r="AL42" s="171" t="n"/>
      <c r="AM42" s="184" t="n"/>
      <c r="AN42" s="184" t="n"/>
      <c r="AO42" s="184" t="n"/>
      <c r="AP42" s="184" t="n"/>
      <c r="AQ42" s="184" t="n"/>
      <c r="AR42" s="184" t="n"/>
      <c r="AS42" s="184" t="n"/>
      <c r="AT42" s="184" t="n"/>
      <c r="AU42" s="204" t="n"/>
      <c r="AV42" s="204" t="n"/>
      <c r="AW42" s="204" t="n"/>
      <c r="AX42" s="204" t="n"/>
      <c r="AY42" s="204" t="n"/>
      <c r="AZ42" s="204" t="n"/>
      <c r="BA42" s="204" t="n"/>
      <c r="BB42" s="204" t="n"/>
      <c r="BC42" s="83" t="n"/>
    </row>
    <row r="43" ht="15.75" customHeight="1" s="163">
      <c r="A43" s="94" t="n"/>
      <c r="B43" s="94" t="n"/>
      <c r="C43" s="94" t="n"/>
      <c r="D43" s="94" t="n"/>
      <c r="E43" s="94" t="n"/>
      <c r="F43" s="94" t="n"/>
      <c r="G43" s="94" t="n"/>
      <c r="H43" s="94" t="n"/>
      <c r="I43" s="92" t="n"/>
      <c r="J43" s="77" t="n"/>
      <c r="K43" s="208" t="n">
        <v>1588</v>
      </c>
      <c r="L43" s="208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n"/>
      <c r="AE43" s="77" t="n"/>
      <c r="AF43" s="77" t="n"/>
      <c r="AG43" s="77" t="n"/>
      <c r="AH43" s="77" t="n"/>
      <c r="AI43" s="77" t="n"/>
      <c r="AJ43" s="77" t="n"/>
      <c r="AK43" s="77" t="n"/>
      <c r="AL43" s="83" t="n"/>
      <c r="AM43" s="209" t="n"/>
      <c r="AN43" s="209" t="n"/>
      <c r="AO43" s="209" t="n"/>
      <c r="AP43" s="209" t="n"/>
      <c r="AQ43" s="209" t="n"/>
      <c r="AR43" s="209" t="n"/>
      <c r="AS43" s="209" t="n"/>
      <c r="AT43" s="209" t="n"/>
      <c r="AU43" s="94" t="n"/>
      <c r="AV43" s="94" t="n"/>
      <c r="AW43" s="94" t="n"/>
      <c r="AX43" s="94" t="n"/>
      <c r="AY43" s="94" t="n"/>
      <c r="AZ43" s="94" t="n"/>
      <c r="BA43" s="94" t="n"/>
      <c r="BB43" s="94" t="n"/>
      <c r="BC43" s="83" t="n"/>
    </row>
    <row r="44" ht="15.75" customHeight="1" s="163">
      <c r="A44" s="92" t="n"/>
      <c r="B44" s="94" t="n"/>
      <c r="C44" s="94" t="n"/>
      <c r="D44" s="94" t="inlineStr">
        <is>
          <t>инфраструктура поселка ?</t>
        </is>
      </c>
      <c r="E44" s="94" t="n"/>
      <c r="F44" s="94" t="n"/>
      <c r="G44" s="94" t="n"/>
      <c r="H44" s="94" t="n"/>
      <c r="I44" s="92" t="n"/>
      <c r="J44" s="204" t="n"/>
      <c r="K44" s="220" t="n">
        <v>1589</v>
      </c>
      <c r="L44" s="220" t="n"/>
      <c r="M44" s="204" t="n"/>
      <c r="N44" s="204" t="n"/>
      <c r="O44" s="204" t="n"/>
      <c r="P44" s="204" t="n"/>
      <c r="Q44" s="77" t="n"/>
      <c r="R44" s="77" t="n"/>
      <c r="S44" s="204" t="n"/>
      <c r="T44" s="204" t="n"/>
      <c r="U44" s="204" t="n"/>
      <c r="V44" s="204" t="n"/>
      <c r="W44" s="204" t="n"/>
      <c r="X44" s="204" t="n"/>
      <c r="Y44" s="204" t="n"/>
      <c r="Z44" s="204" t="n"/>
      <c r="AA44" s="204" t="n"/>
      <c r="AB44" s="204" t="n"/>
      <c r="AC44" s="204" t="n"/>
      <c r="AD44" s="204" t="n"/>
      <c r="AE44" s="204" t="n"/>
      <c r="AF44" s="204" t="n"/>
      <c r="AG44" s="204" t="n"/>
      <c r="AH44" s="204" t="n"/>
      <c r="AI44" s="204" t="n"/>
      <c r="AJ44" s="204" t="n"/>
      <c r="AK44" s="204" t="n"/>
      <c r="AL44" s="171" t="n"/>
      <c r="AM44" s="184" t="n"/>
      <c r="AN44" s="184" t="n"/>
      <c r="AO44" s="184" t="n"/>
      <c r="AP44" s="184" t="n"/>
      <c r="AQ44" s="184" t="n"/>
      <c r="AR44" s="184" t="n"/>
      <c r="AS44" s="184" t="n"/>
      <c r="AT44" s="184" t="n"/>
      <c r="AU44" s="204" t="n"/>
      <c r="AV44" s="204" t="n"/>
      <c r="AW44" s="204" t="n"/>
      <c r="AX44" s="204" t="n"/>
      <c r="AY44" s="204" t="n"/>
      <c r="AZ44" s="204" t="n"/>
      <c r="BA44" s="204" t="n"/>
      <c r="BB44" s="204" t="n"/>
      <c r="BC44" s="83" t="n"/>
    </row>
    <row r="45" ht="15.75" customHeight="1" s="163">
      <c r="A45" s="92" t="n"/>
      <c r="B45" s="94" t="n"/>
      <c r="C45" s="94" t="n"/>
      <c r="D45" s="94" t="n"/>
      <c r="E45" s="94" t="n"/>
      <c r="F45" s="94" t="n"/>
      <c r="G45" s="94" t="n"/>
      <c r="H45" s="94" t="n"/>
      <c r="I45" s="92" t="n"/>
      <c r="J45" s="77" t="n"/>
      <c r="K45" s="208" t="n">
        <v>1590</v>
      </c>
      <c r="L45" s="208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n"/>
      <c r="AF45" s="77" t="n"/>
      <c r="AG45" s="77" t="n"/>
      <c r="AH45" s="77" t="n"/>
      <c r="AI45" s="77" t="n"/>
      <c r="AJ45" s="77" t="n"/>
      <c r="AK45" s="77" t="n"/>
      <c r="AL45" s="83" t="n"/>
      <c r="AM45" s="94" t="n"/>
      <c r="AN45" s="94" t="n"/>
      <c r="AO45" s="94" t="n"/>
      <c r="AP45" s="94" t="n"/>
      <c r="AQ45" s="94" t="n"/>
      <c r="AR45" s="94" t="n"/>
      <c r="AS45" s="94" t="n"/>
      <c r="AT45" s="94" t="n"/>
      <c r="AU45" s="94" t="n"/>
      <c r="AV45" s="94" t="n"/>
      <c r="AW45" s="94" t="n"/>
      <c r="AX45" s="94" t="n"/>
      <c r="AY45" s="94" t="n"/>
      <c r="AZ45" s="94" t="n"/>
      <c r="BA45" s="94" t="n"/>
      <c r="BB45" s="94" t="n"/>
      <c r="BC45" s="83" t="n"/>
    </row>
    <row r="46" ht="15.75" customHeight="1" s="163">
      <c r="A46" s="94" t="n"/>
      <c r="B46" s="94" t="n"/>
      <c r="C46" s="94" t="n"/>
      <c r="D46" s="94" t="n"/>
      <c r="E46" s="94" t="n"/>
      <c r="F46" s="94" t="n"/>
      <c r="G46" s="94" t="n"/>
      <c r="H46" s="94" t="n"/>
      <c r="I46" s="92" t="n"/>
      <c r="J46" s="77" t="n"/>
      <c r="K46" s="208" t="n">
        <v>1591</v>
      </c>
      <c r="L46" s="208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83" t="n"/>
      <c r="AM46" s="94" t="n"/>
      <c r="AN46" s="94" t="n"/>
      <c r="AO46" s="94" t="n"/>
      <c r="AP46" s="94" t="n"/>
      <c r="AQ46" s="94" t="n"/>
      <c r="AR46" s="94" t="n"/>
      <c r="AS46" s="94" t="n"/>
      <c r="AT46" s="94" t="n"/>
      <c r="AU46" s="94" t="n"/>
      <c r="AV46" s="94" t="n"/>
      <c r="AW46" s="94" t="n"/>
      <c r="AX46" s="94" t="n"/>
      <c r="AY46" s="94" t="n"/>
      <c r="AZ46" s="94" t="n"/>
      <c r="BA46" s="94" t="n"/>
      <c r="BB46" s="94" t="n"/>
      <c r="BC46" s="83" t="n"/>
    </row>
    <row r="47" ht="15.75" customHeight="1" s="163">
      <c r="A47" s="94" t="n"/>
      <c r="B47" s="94" t="n"/>
      <c r="C47" s="94" t="n"/>
      <c r="D47" s="94" t="n"/>
      <c r="E47" s="94" t="n"/>
      <c r="F47" s="94" t="n"/>
      <c r="G47" s="94" t="n"/>
      <c r="H47" s="94" t="n"/>
      <c r="I47" s="92" t="n"/>
      <c r="J47" s="77" t="n"/>
      <c r="K47" s="208" t="n">
        <v>1592</v>
      </c>
      <c r="L47" s="208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n"/>
      <c r="AG47" s="77" t="n"/>
      <c r="AH47" s="77" t="n"/>
      <c r="AI47" s="77" t="n"/>
      <c r="AJ47" s="77" t="n"/>
      <c r="AK47" s="77" t="n"/>
      <c r="AL47" s="83" t="n"/>
      <c r="AM47" s="94" t="n"/>
      <c r="AN47" s="94" t="n"/>
      <c r="AO47" s="94" t="n"/>
      <c r="AP47" s="94" t="n"/>
      <c r="AQ47" s="94" t="n"/>
      <c r="AR47" s="94" t="n"/>
      <c r="AS47" s="94" t="n"/>
      <c r="AT47" s="94" t="n"/>
      <c r="AU47" s="94" t="n"/>
      <c r="AV47" s="94" t="n"/>
      <c r="AW47" s="94" t="n"/>
      <c r="AX47" s="94" t="n"/>
      <c r="AY47" s="94" t="n"/>
      <c r="AZ47" s="94" t="n"/>
      <c r="BA47" s="94" t="n"/>
      <c r="BB47" s="94" t="n"/>
      <c r="BC47" s="83" t="n"/>
    </row>
    <row r="48" ht="15.75" customHeight="1" s="163">
      <c r="A48" s="94" t="n"/>
      <c r="B48" s="94" t="n"/>
      <c r="C48" s="94" t="n"/>
      <c r="D48" s="94" t="n"/>
      <c r="E48" s="94" t="n"/>
      <c r="F48" s="94" t="n"/>
      <c r="G48" s="94" t="n"/>
      <c r="H48" s="94" t="n"/>
      <c r="I48" s="92" t="n"/>
      <c r="J48" s="77" t="n"/>
      <c r="K48" s="208" t="n">
        <v>1593</v>
      </c>
      <c r="L48" s="208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83" t="n"/>
      <c r="AM48" s="209" t="n"/>
      <c r="AN48" s="209" t="n"/>
      <c r="AO48" s="209" t="n"/>
      <c r="AP48" s="209" t="n"/>
      <c r="AQ48" s="209" t="n"/>
      <c r="AR48" s="209" t="n"/>
      <c r="AS48" s="209" t="n"/>
      <c r="AT48" s="209" t="n"/>
      <c r="AU48" s="94" t="n"/>
      <c r="AV48" s="94" t="n"/>
      <c r="AW48" s="94" t="n"/>
      <c r="AX48" s="94" t="n"/>
      <c r="AY48" s="94" t="n"/>
      <c r="AZ48" s="94" t="n"/>
      <c r="BA48" s="94" t="n"/>
      <c r="BB48" s="94" t="n"/>
      <c r="BC48" s="83" t="n"/>
    </row>
    <row r="49" ht="15.75" customHeight="1" s="163">
      <c r="A49" s="94" t="n"/>
      <c r="B49" s="94" t="n"/>
      <c r="C49" s="94" t="n"/>
      <c r="D49" s="94" t="n"/>
      <c r="E49" s="94" t="n"/>
      <c r="F49" s="94" t="n"/>
      <c r="G49" s="94" t="n"/>
      <c r="H49" s="94" t="n"/>
      <c r="I49" s="92" t="n"/>
      <c r="J49" s="204" t="n"/>
      <c r="K49" s="220" t="n">
        <v>1594</v>
      </c>
      <c r="L49" s="220" t="n"/>
      <c r="M49" s="204" t="n"/>
      <c r="N49" s="204" t="n"/>
      <c r="O49" s="204" t="n"/>
      <c r="P49" s="204" t="n"/>
      <c r="Q49" s="77" t="n"/>
      <c r="R49" s="77" t="n"/>
      <c r="S49" s="204" t="n"/>
      <c r="T49" s="204" t="n"/>
      <c r="U49" s="204" t="n"/>
      <c r="V49" s="204" t="n"/>
      <c r="W49" s="204" t="n"/>
      <c r="X49" s="204" t="n"/>
      <c r="Y49" s="204" t="n"/>
      <c r="Z49" s="204" t="n"/>
      <c r="AA49" s="204" t="n"/>
      <c r="AB49" s="204" t="n"/>
      <c r="AC49" s="204" t="n"/>
      <c r="AD49" s="204" t="n"/>
      <c r="AE49" s="204" t="n"/>
      <c r="AF49" s="204" t="n"/>
      <c r="AG49" s="204" t="n"/>
      <c r="AH49" s="204" t="n"/>
      <c r="AI49" s="204" t="n"/>
      <c r="AJ49" s="204" t="n"/>
      <c r="AK49" s="204" t="n"/>
      <c r="AL49" s="171" t="n"/>
      <c r="AM49" s="184" t="n"/>
      <c r="AN49" s="184" t="n"/>
      <c r="AO49" s="184" t="n"/>
      <c r="AP49" s="184" t="n"/>
      <c r="AQ49" s="184" t="n"/>
      <c r="AR49" s="184" t="n"/>
      <c r="AS49" s="184" t="n"/>
      <c r="AT49" s="184" t="n"/>
      <c r="AU49" s="204" t="n"/>
      <c r="AV49" s="204" t="n"/>
      <c r="AW49" s="204" t="n"/>
      <c r="AX49" s="204" t="n"/>
      <c r="AY49" s="204" t="n"/>
      <c r="AZ49" s="204" t="n"/>
      <c r="BA49" s="204" t="n"/>
      <c r="BB49" s="204" t="n"/>
      <c r="BC49" s="83" t="n"/>
    </row>
    <row r="50" ht="15.75" customHeight="1" s="163">
      <c r="A50" s="94" t="n"/>
      <c r="B50" s="94" t="n"/>
      <c r="C50" s="94" t="n"/>
      <c r="D50" s="94" t="n"/>
      <c r="E50" s="94" t="n"/>
      <c r="F50" s="94" t="n"/>
      <c r="G50" s="94" t="n"/>
      <c r="H50" s="94" t="n"/>
      <c r="I50" s="92" t="n"/>
      <c r="J50" s="77" t="n"/>
      <c r="K50" s="208" t="n">
        <v>1595</v>
      </c>
      <c r="L50" s="208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83" t="n"/>
      <c r="AM50" s="209" t="n"/>
      <c r="AN50" s="209" t="n"/>
      <c r="AO50" s="209" t="n"/>
      <c r="AP50" s="209" t="n"/>
      <c r="AQ50" s="209" t="n"/>
      <c r="AR50" s="209" t="n"/>
      <c r="AS50" s="209" t="n"/>
      <c r="AT50" s="209" t="n"/>
      <c r="AU50" s="94" t="n"/>
      <c r="AV50" s="94" t="n"/>
      <c r="AW50" s="94" t="n"/>
      <c r="AX50" s="94" t="n"/>
      <c r="AY50" s="94" t="n"/>
      <c r="AZ50" s="94" t="n"/>
      <c r="BA50" s="94" t="n"/>
      <c r="BB50" s="94" t="n"/>
      <c r="BC50" s="83" t="n"/>
    </row>
    <row r="51" ht="15.75" customHeight="1" s="163">
      <c r="A51" s="94" t="n"/>
      <c r="B51" s="94" t="n"/>
      <c r="C51" s="94" t="n"/>
      <c r="D51" s="94" t="n"/>
      <c r="E51" s="94" t="n"/>
      <c r="F51" s="94" t="n"/>
      <c r="G51" s="94" t="n"/>
      <c r="H51" s="94" t="n"/>
      <c r="I51" s="92" t="n"/>
      <c r="J51" s="177" t="n"/>
      <c r="K51" s="220" t="n">
        <v>1596</v>
      </c>
      <c r="L51" s="220" t="n"/>
      <c r="M51" s="204" t="n"/>
      <c r="N51" s="204" t="n"/>
      <c r="O51" s="204" t="n"/>
      <c r="P51" s="204" t="n"/>
      <c r="Q51" s="77" t="n"/>
      <c r="R51" s="77" t="n"/>
      <c r="S51" s="204" t="n"/>
      <c r="T51" s="204" t="n"/>
      <c r="U51" s="204" t="n"/>
      <c r="V51" s="204" t="n"/>
      <c r="W51" s="204" t="n"/>
      <c r="X51" s="204" t="n"/>
      <c r="Y51" s="177" t="n"/>
      <c r="Z51" s="177" t="n"/>
      <c r="AA51" s="177" t="n"/>
      <c r="AB51" s="204" t="n"/>
      <c r="AC51" s="204" t="n"/>
      <c r="AD51" s="204" t="n"/>
      <c r="AE51" s="204" t="n"/>
      <c r="AF51" s="177" t="n"/>
      <c r="AG51" s="177" t="n"/>
      <c r="AH51" s="177" t="n"/>
      <c r="AI51" s="204" t="n"/>
      <c r="AJ51" s="204" t="n"/>
      <c r="AK51" s="204" t="n"/>
      <c r="AL51" s="171" t="n"/>
      <c r="AM51" s="184" t="n"/>
      <c r="AN51" s="184" t="n"/>
      <c r="AO51" s="184" t="n"/>
      <c r="AP51" s="184" t="n"/>
      <c r="AQ51" s="184" t="n"/>
      <c r="AR51" s="184" t="n"/>
      <c r="AS51" s="184" t="n"/>
      <c r="AT51" s="184" t="n"/>
      <c r="AU51" s="204" t="n"/>
      <c r="AV51" s="177" t="n"/>
      <c r="AW51" s="177" t="n"/>
      <c r="AX51" s="177" t="n"/>
      <c r="AY51" s="204" t="n"/>
      <c r="AZ51" s="204" t="n"/>
      <c r="BA51" s="204" t="n"/>
      <c r="BB51" s="204" t="n"/>
      <c r="BC51" s="83" t="n"/>
    </row>
    <row r="52" ht="15.75" customHeight="1" s="163">
      <c r="A52" s="92" t="n"/>
      <c r="B52" s="94" t="n"/>
      <c r="C52" s="94" t="n"/>
      <c r="D52" s="94" t="n"/>
      <c r="E52" s="94" t="n"/>
      <c r="F52" s="94" t="n"/>
      <c r="G52" s="94" t="n"/>
      <c r="H52" s="94" t="n"/>
      <c r="I52" s="92" t="n"/>
      <c r="J52" s="177" t="n"/>
      <c r="K52" s="220" t="n">
        <v>1597</v>
      </c>
      <c r="L52" s="220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177" t="n"/>
      <c r="Z52" s="177" t="n"/>
      <c r="AA52" s="177" t="n"/>
      <c r="AB52" s="77" t="n"/>
      <c r="AC52" s="77" t="n"/>
      <c r="AD52" s="77" t="n"/>
      <c r="AE52" s="77" t="n"/>
      <c r="AF52" s="177" t="n"/>
      <c r="AG52" s="177" t="n"/>
      <c r="AH52" s="177" t="n"/>
      <c r="AI52" s="77" t="n"/>
      <c r="AJ52" s="77" t="n"/>
      <c r="AK52" s="77" t="n"/>
      <c r="AL52" s="83" t="n"/>
      <c r="AM52" s="94" t="n"/>
      <c r="AN52" s="94" t="n"/>
      <c r="AO52" s="94" t="n"/>
      <c r="AP52" s="94" t="n"/>
      <c r="AQ52" s="94" t="n"/>
      <c r="AR52" s="94" t="n"/>
      <c r="AS52" s="94" t="n"/>
      <c r="AT52" s="94" t="n"/>
      <c r="AU52" s="94" t="n"/>
      <c r="AV52" s="177" t="n"/>
      <c r="AW52" s="177" t="n"/>
      <c r="AX52" s="177" t="n"/>
      <c r="AY52" s="94" t="n"/>
      <c r="AZ52" s="94" t="n"/>
      <c r="BA52" s="94" t="n"/>
      <c r="BB52" s="94" t="n"/>
      <c r="BC52" s="83" t="n"/>
    </row>
    <row r="53" ht="15.75" customHeight="1" s="163">
      <c r="A53" s="92" t="n"/>
      <c r="B53" s="94" t="n"/>
      <c r="C53" s="94" t="n"/>
      <c r="D53" s="94" t="n"/>
      <c r="E53" s="94" t="n"/>
      <c r="F53" s="94" t="n"/>
      <c r="G53" s="94" t="n"/>
      <c r="H53" s="94" t="n"/>
      <c r="I53" s="92" t="n"/>
      <c r="J53" s="204" t="n"/>
      <c r="K53" s="220" t="n">
        <v>1598</v>
      </c>
      <c r="L53" s="220" t="n"/>
      <c r="M53" s="204" t="n"/>
      <c r="N53" s="204" t="n"/>
      <c r="O53" s="204" t="n"/>
      <c r="P53" s="204" t="n"/>
      <c r="Q53" s="77" t="n"/>
      <c r="R53" s="77" t="n"/>
      <c r="S53" s="204" t="n"/>
      <c r="T53" s="204" t="n"/>
      <c r="U53" s="204" t="n"/>
      <c r="V53" s="204" t="n"/>
      <c r="W53" s="204" t="n"/>
      <c r="X53" s="204" t="n"/>
      <c r="Y53" s="204" t="n"/>
      <c r="Z53" s="204" t="n"/>
      <c r="AA53" s="204" t="n"/>
      <c r="AB53" s="204" t="n"/>
      <c r="AC53" s="204" t="n"/>
      <c r="AD53" s="204" t="n"/>
      <c r="AE53" s="204" t="n"/>
      <c r="AF53" s="204" t="n"/>
      <c r="AG53" s="204" t="n"/>
      <c r="AH53" s="204" t="n"/>
      <c r="AI53" s="204" t="n"/>
      <c r="AJ53" s="204" t="n"/>
      <c r="AK53" s="204" t="n"/>
      <c r="AL53" s="171" t="n"/>
      <c r="AM53" s="204" t="n"/>
      <c r="AN53" s="204" t="n"/>
      <c r="AO53" s="94" t="n"/>
      <c r="AP53" s="204" t="n"/>
      <c r="AQ53" s="204" t="n"/>
      <c r="AR53" s="204" t="n"/>
      <c r="AS53" s="204" t="n"/>
      <c r="AT53" s="204" t="n"/>
      <c r="AU53" s="204" t="n"/>
      <c r="AV53" s="204" t="n"/>
      <c r="AW53" s="204" t="n"/>
      <c r="AX53" s="204" t="n"/>
      <c r="AY53" s="204" t="n"/>
      <c r="AZ53" s="204" t="n"/>
      <c r="BA53" s="204" t="n"/>
      <c r="BB53" s="204" t="n"/>
      <c r="BC53" s="83" t="n"/>
    </row>
    <row r="54" ht="15.75" customHeight="1" s="163">
      <c r="A54" s="94" t="n"/>
      <c r="B54" s="94" t="n"/>
      <c r="C54" s="94" t="n"/>
      <c r="D54" s="94" t="n"/>
      <c r="E54" s="94" t="n"/>
      <c r="F54" s="94" t="n"/>
      <c r="G54" s="94" t="n"/>
      <c r="H54" s="94" t="n"/>
      <c r="I54" s="92" t="n"/>
      <c r="J54" s="77" t="n"/>
      <c r="K54" s="208" t="n">
        <v>1599</v>
      </c>
      <c r="L54" s="208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83" t="n"/>
      <c r="AM54" s="94" t="n"/>
      <c r="AN54" s="94" t="n"/>
      <c r="AO54" s="94" t="n"/>
      <c r="AP54" s="94" t="n"/>
      <c r="AQ54" s="94" t="n"/>
      <c r="AR54" s="94" t="n"/>
      <c r="AS54" s="94" t="n"/>
      <c r="AT54" s="94" t="n"/>
      <c r="AU54" s="94" t="n"/>
      <c r="AV54" s="94" t="n"/>
      <c r="AW54" s="94" t="n"/>
      <c r="AX54" s="94" t="n"/>
      <c r="AY54" s="94" t="n"/>
      <c r="AZ54" s="94" t="n"/>
      <c r="BA54" s="94" t="n"/>
      <c r="BB54" s="94" t="n"/>
      <c r="BC54" s="83" t="n"/>
    </row>
    <row r="55" ht="15.75" customHeight="1" s="163">
      <c r="A55" s="94" t="n"/>
      <c r="B55" s="94" t="n"/>
      <c r="C55" s="94" t="n"/>
      <c r="D55" s="94" t="n"/>
      <c r="E55" s="94" t="n"/>
      <c r="F55" s="94" t="n"/>
      <c r="G55" s="94" t="n"/>
      <c r="H55" s="94" t="n"/>
      <c r="I55" s="92" t="n"/>
      <c r="J55" s="77" t="n"/>
      <c r="K55" s="208" t="n">
        <v>1600</v>
      </c>
      <c r="L55" s="208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n"/>
      <c r="AH55" s="77" t="n"/>
      <c r="AI55" s="77" t="n"/>
      <c r="AJ55" s="77" t="n"/>
      <c r="AK55" s="77" t="n"/>
      <c r="AL55" s="83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94" t="n"/>
      <c r="AV55" s="94" t="n"/>
      <c r="AW55" s="94" t="n"/>
      <c r="AX55" s="94" t="n"/>
      <c r="AY55" s="94" t="n"/>
      <c r="AZ55" s="94" t="n"/>
      <c r="BA55" s="94" t="n"/>
      <c r="BB55" s="94" t="n"/>
      <c r="BC55" s="83" t="n"/>
    </row>
    <row r="56" ht="15.75" customHeight="1" s="163">
      <c r="A56" s="94" t="n"/>
      <c r="B56" s="94" t="n"/>
      <c r="C56" s="94" t="n"/>
      <c r="D56" s="94" t="n"/>
      <c r="E56" s="94" t="n"/>
      <c r="F56" s="94" t="n"/>
      <c r="G56" s="94" t="n"/>
      <c r="H56" s="94" t="n"/>
      <c r="I56" s="92" t="n"/>
      <c r="J56" s="77" t="n"/>
      <c r="K56" s="208" t="n">
        <v>1601</v>
      </c>
      <c r="L56" s="208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83" t="n"/>
      <c r="AM56" s="184" t="n"/>
      <c r="AN56" s="184" t="n"/>
      <c r="AO56" s="184" t="n"/>
      <c r="AP56" s="184" t="n"/>
      <c r="AQ56" s="184" t="n"/>
      <c r="AR56" s="184" t="n"/>
      <c r="AS56" s="184" t="n"/>
      <c r="AT56" s="184" t="n"/>
      <c r="AU56" s="94" t="n"/>
      <c r="AV56" s="94" t="n"/>
      <c r="AW56" s="94" t="n"/>
      <c r="AX56" s="94" t="n"/>
      <c r="AY56" s="94" t="n"/>
      <c r="AZ56" s="94" t="n"/>
      <c r="BA56" s="94" t="n"/>
      <c r="BB56" s="94" t="n"/>
      <c r="BC56" s="83" t="n"/>
    </row>
    <row r="57" ht="15.75" customHeight="1" s="163">
      <c r="A57" s="94" t="n"/>
      <c r="B57" s="94" t="n"/>
      <c r="C57" s="94" t="n"/>
      <c r="D57" s="94" t="n"/>
      <c r="E57" s="94" t="n"/>
      <c r="F57" s="94" t="n"/>
      <c r="G57" s="94" t="n"/>
      <c r="H57" s="94" t="n"/>
      <c r="I57" s="92" t="n"/>
      <c r="J57" s="77" t="n"/>
      <c r="K57" s="208" t="n">
        <v>1602</v>
      </c>
      <c r="L57" s="208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7" t="n"/>
      <c r="AF57" s="77" t="n"/>
      <c r="AG57" s="77" t="n"/>
      <c r="AH57" s="77" t="n"/>
      <c r="AI57" s="77" t="n"/>
      <c r="AJ57" s="77" t="n"/>
      <c r="AK57" s="77" t="n"/>
      <c r="AL57" s="83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94" t="n"/>
      <c r="AV57" s="94" t="n"/>
      <c r="AW57" s="94" t="n"/>
      <c r="AX57" s="94" t="n"/>
      <c r="AY57" s="94" t="n"/>
      <c r="AZ57" s="94" t="n"/>
      <c r="BA57" s="94" t="n"/>
      <c r="BB57" s="94" t="n"/>
      <c r="BC57" s="83" t="n"/>
    </row>
    <row r="58" ht="15.75" customHeight="1" s="163">
      <c r="A58" s="94" t="n"/>
      <c r="B58" s="94" t="n"/>
      <c r="C58" s="94" t="n"/>
      <c r="D58" s="94" t="n"/>
      <c r="E58" s="94" t="n"/>
      <c r="F58" s="94" t="n"/>
      <c r="G58" s="94" t="n"/>
      <c r="H58" s="94" t="n"/>
      <c r="I58" s="92" t="n"/>
      <c r="J58" s="204" t="n"/>
      <c r="K58" s="220" t="n">
        <v>1603</v>
      </c>
      <c r="L58" s="220" t="n"/>
      <c r="M58" s="204" t="n"/>
      <c r="N58" s="204" t="n"/>
      <c r="O58" s="204" t="n"/>
      <c r="P58" s="204" t="n"/>
      <c r="Q58" s="77" t="n"/>
      <c r="R58" s="77" t="n"/>
      <c r="S58" s="204" t="n"/>
      <c r="T58" s="204" t="n"/>
      <c r="U58" s="204" t="n"/>
      <c r="V58" s="204" t="n"/>
      <c r="W58" s="204" t="n"/>
      <c r="X58" s="204" t="n"/>
      <c r="Y58" s="204" t="n"/>
      <c r="Z58" s="204" t="n"/>
      <c r="AA58" s="204" t="n"/>
      <c r="AB58" s="204" t="n"/>
      <c r="AC58" s="204" t="n"/>
      <c r="AD58" s="204" t="n"/>
      <c r="AE58" s="204" t="n"/>
      <c r="AF58" s="204" t="n"/>
      <c r="AG58" s="204" t="n"/>
      <c r="AH58" s="204" t="n"/>
      <c r="AI58" s="204" t="n"/>
      <c r="AJ58" s="204" t="n"/>
      <c r="AK58" s="204" t="n"/>
      <c r="AL58" s="171" t="n"/>
      <c r="AM58" s="184" t="n"/>
      <c r="AN58" s="184" t="n"/>
      <c r="AO58" s="184" t="n"/>
      <c r="AP58" s="184" t="n"/>
      <c r="AQ58" s="184" t="n"/>
      <c r="AR58" s="184" t="n"/>
      <c r="AS58" s="184" t="n"/>
      <c r="AT58" s="184" t="n"/>
      <c r="AU58" s="204" t="n"/>
      <c r="AV58" s="204" t="n"/>
      <c r="AW58" s="204" t="n"/>
      <c r="AX58" s="204" t="n"/>
      <c r="AY58" s="204" t="n"/>
      <c r="AZ58" s="204" t="n"/>
      <c r="BA58" s="204" t="n"/>
      <c r="BB58" s="204" t="n"/>
      <c r="BC58" s="83" t="n"/>
    </row>
    <row r="59" ht="15.75" customHeight="1" s="163">
      <c r="A59" s="94" t="n"/>
      <c r="B59" s="94" t="n"/>
      <c r="C59" s="94" t="n"/>
      <c r="D59" s="94" t="n"/>
      <c r="E59" s="94" t="n"/>
      <c r="F59" s="94" t="n"/>
      <c r="G59" s="94" t="n"/>
      <c r="H59" s="94" t="n"/>
      <c r="I59" s="92" t="n"/>
      <c r="J59" s="77" t="n"/>
      <c r="K59" s="208" t="n">
        <v>1604</v>
      </c>
      <c r="L59" s="208" t="n"/>
      <c r="M59" s="77" t="n"/>
      <c r="N59" s="77" t="n"/>
      <c r="O59" s="77" t="n"/>
      <c r="P59" s="77" t="n"/>
      <c r="Q59" s="77" t="n"/>
      <c r="R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7" t="n"/>
      <c r="AI59" s="77" t="n"/>
      <c r="AJ59" s="77" t="n"/>
      <c r="AK59" s="77" t="n"/>
      <c r="AL59" s="83" t="n"/>
      <c r="AM59" s="94" t="n"/>
      <c r="AN59" s="94" t="n"/>
      <c r="AO59" s="94" t="n"/>
      <c r="AP59" s="94" t="n"/>
      <c r="AQ59" s="94" t="n"/>
      <c r="AR59" s="94" t="n"/>
      <c r="AS59" s="94" t="n"/>
      <c r="AT59" s="94" t="n"/>
      <c r="AU59" s="94" t="n"/>
      <c r="AV59" s="94" t="n"/>
      <c r="AW59" s="94" t="n"/>
      <c r="AX59" s="94" t="n"/>
      <c r="AY59" s="94" t="n"/>
      <c r="AZ59" s="94" t="n"/>
      <c r="BA59" s="94" t="n"/>
      <c r="BB59" s="94" t="n"/>
      <c r="BC59" s="83" t="n"/>
    </row>
    <row r="60" ht="15.75" customHeight="1" s="163">
      <c r="A60" s="92" t="n"/>
      <c r="B60" s="94" t="n"/>
      <c r="C60" s="94" t="n"/>
      <c r="D60" s="94" t="n"/>
      <c r="E60" s="94" t="n"/>
      <c r="F60" s="94" t="n"/>
      <c r="G60" s="94" t="n"/>
      <c r="H60" s="94" t="n"/>
      <c r="I60" s="92" t="n"/>
      <c r="J60" s="204" t="n"/>
      <c r="K60" s="220" t="n">
        <v>1605</v>
      </c>
      <c r="L60" s="220" t="n"/>
      <c r="M60" s="204" t="n"/>
      <c r="N60" s="204" t="n"/>
      <c r="O60" s="204" t="n"/>
      <c r="P60" s="204" t="n"/>
      <c r="Q60" s="77" t="n"/>
      <c r="R60" s="77" t="n"/>
      <c r="S60" s="204" t="n"/>
      <c r="T60" s="204" t="n"/>
      <c r="U60" s="204" t="n"/>
      <c r="V60" s="204" t="n"/>
      <c r="W60" s="204" t="n"/>
      <c r="X60" s="204" t="n"/>
      <c r="Y60" s="204" t="n"/>
      <c r="Z60" s="204" t="n"/>
      <c r="AA60" s="204" t="n"/>
      <c r="AB60" s="204" t="n"/>
      <c r="AC60" s="204" t="n"/>
      <c r="AD60" s="204" t="n"/>
      <c r="AE60" s="204" t="n"/>
      <c r="AF60" s="204" t="n"/>
      <c r="AG60" s="204" t="n"/>
      <c r="AH60" s="204" t="n"/>
      <c r="AI60" s="204" t="n"/>
      <c r="AJ60" s="204" t="n"/>
      <c r="AK60" s="204" t="n"/>
      <c r="AL60" s="171" t="n"/>
      <c r="AM60" s="204" t="n"/>
      <c r="AN60" s="204" t="n"/>
      <c r="AO60" s="94" t="n"/>
      <c r="AP60" s="204" t="n"/>
      <c r="AQ60" s="204" t="n"/>
      <c r="AR60" s="204" t="n"/>
      <c r="AS60" s="204" t="n"/>
      <c r="AT60" s="204" t="n"/>
      <c r="AU60" s="204" t="n"/>
      <c r="AV60" s="204" t="n"/>
      <c r="AW60" s="204" t="n"/>
      <c r="AX60" s="204" t="n"/>
      <c r="AY60" s="204" t="n"/>
      <c r="AZ60" s="204" t="n"/>
      <c r="BA60" s="204" t="n"/>
      <c r="BB60" s="204" t="n"/>
      <c r="BC60" s="83" t="n"/>
    </row>
    <row r="61" ht="15.75" customHeight="1" s="163">
      <c r="A61" s="92" t="n"/>
      <c r="B61" s="94" t="n"/>
      <c r="C61" s="94" t="n"/>
      <c r="D61" s="94" t="n"/>
      <c r="E61" s="94" t="n"/>
      <c r="F61" s="94" t="n"/>
      <c r="G61" s="94" t="n"/>
      <c r="H61" s="94" t="n"/>
      <c r="I61" s="92" t="n"/>
      <c r="J61" s="77" t="n"/>
      <c r="K61" s="208" t="n">
        <v>1606</v>
      </c>
      <c r="L61" s="208" t="n"/>
      <c r="M61" s="77" t="n"/>
      <c r="N61" s="77" t="n"/>
      <c r="O61" s="77" t="n"/>
      <c r="P61" s="77" t="n"/>
      <c r="Q61" s="77" t="n"/>
      <c r="R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7" t="n"/>
      <c r="AI61" s="77" t="n"/>
      <c r="AJ61" s="77" t="n"/>
      <c r="AK61" s="77" t="n"/>
      <c r="AL61" s="83" t="n"/>
      <c r="AM61" s="94" t="n"/>
      <c r="AN61" s="94" t="n"/>
      <c r="AO61" s="94" t="n"/>
      <c r="AP61" s="94" t="n"/>
      <c r="AQ61" s="94" t="n"/>
      <c r="AR61" s="94" t="n"/>
      <c r="AS61" s="94" t="n"/>
      <c r="AT61" s="94" t="n"/>
      <c r="AU61" s="94" t="n"/>
      <c r="AV61" s="94" t="n"/>
      <c r="AW61" s="94" t="n"/>
      <c r="AX61" s="94" t="n"/>
      <c r="AY61" s="94" t="n"/>
      <c r="AZ61" s="94" t="n"/>
      <c r="BA61" s="94" t="n"/>
      <c r="BB61" s="94" t="n"/>
      <c r="BC61" s="83" t="n"/>
    </row>
    <row r="62" ht="15.75" customHeight="1" s="163">
      <c r="A62" s="94" t="n"/>
      <c r="B62" s="94" t="n"/>
      <c r="C62" s="94" t="n"/>
      <c r="D62" s="94" t="n"/>
      <c r="E62" s="94" t="n"/>
      <c r="F62" s="94" t="n"/>
      <c r="G62" s="94" t="n"/>
      <c r="H62" s="94" t="n"/>
      <c r="I62" s="92" t="n"/>
      <c r="J62" s="77" t="n"/>
      <c r="K62" s="208" t="n">
        <v>1607</v>
      </c>
      <c r="L62" s="208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83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94" t="n"/>
      <c r="AV62" s="94" t="n"/>
      <c r="AW62" s="94" t="n"/>
      <c r="AX62" s="94" t="n"/>
      <c r="AY62" s="94" t="n"/>
      <c r="AZ62" s="94" t="n"/>
      <c r="BA62" s="94" t="n"/>
      <c r="BB62" s="94" t="n"/>
      <c r="BC62" s="83" t="n"/>
    </row>
    <row r="63" ht="15.75" customHeight="1" s="163">
      <c r="A63" s="94" t="n"/>
      <c r="B63" s="94" t="n"/>
      <c r="C63" s="94" t="n"/>
      <c r="D63" s="94" t="n"/>
      <c r="E63" s="94" t="n"/>
      <c r="F63" s="94" t="n"/>
      <c r="G63" s="94" t="n"/>
      <c r="H63" s="94" t="n"/>
      <c r="I63" s="92" t="n"/>
      <c r="J63" s="77" t="n"/>
      <c r="K63" s="208" t="n">
        <v>1642</v>
      </c>
      <c r="L63" s="208" t="n"/>
      <c r="M63" s="77" t="n"/>
      <c r="N63" s="77" t="n"/>
      <c r="O63" s="77" t="n"/>
      <c r="P63" s="77" t="n"/>
      <c r="Q63" s="77" t="n"/>
      <c r="R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77" t="n"/>
      <c r="AI63" s="77" t="n"/>
      <c r="AJ63" s="77" t="n"/>
      <c r="AK63" s="77" t="n"/>
      <c r="AL63" s="83" t="n"/>
      <c r="AM63" s="184" t="n"/>
      <c r="AN63" s="184" t="n"/>
      <c r="AO63" s="184" t="n"/>
      <c r="AP63" s="184" t="n"/>
      <c r="AQ63" s="184" t="n"/>
      <c r="AR63" s="184" t="n"/>
      <c r="AS63" s="184" t="n"/>
      <c r="AT63" s="184" t="n"/>
      <c r="AU63" s="94" t="n"/>
      <c r="AV63" s="94" t="n"/>
      <c r="AW63" s="94" t="n"/>
      <c r="AX63" s="94" t="n"/>
      <c r="AY63" s="94" t="n"/>
      <c r="AZ63" s="94" t="n"/>
      <c r="BA63" s="94" t="n"/>
      <c r="BB63" s="94" t="n"/>
      <c r="BC63" s="83" t="n"/>
    </row>
    <row r="64" ht="15.75" customHeight="1" s="163">
      <c r="A64" s="94" t="n"/>
      <c r="B64" s="94" t="n"/>
      <c r="C64" s="94" t="n"/>
      <c r="D64" s="94" t="n"/>
      <c r="E64" s="94" t="n"/>
      <c r="F64" s="94" t="n"/>
      <c r="G64" s="94" t="n"/>
      <c r="H64" s="94" t="n"/>
      <c r="I64" s="92" t="n"/>
      <c r="J64" s="77" t="n"/>
      <c r="K64" s="208" t="n">
        <v>1643</v>
      </c>
      <c r="L64" s="208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83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94" t="n"/>
      <c r="AV64" s="94" t="n"/>
      <c r="AW64" s="94" t="n"/>
      <c r="AX64" s="94" t="n"/>
      <c r="AY64" s="94" t="n"/>
      <c r="AZ64" s="94" t="n"/>
      <c r="BA64" s="94" t="n"/>
      <c r="BB64" s="94" t="n"/>
      <c r="BC64" s="83" t="n"/>
    </row>
    <row r="65" ht="15.75" customHeight="1" s="163">
      <c r="A65" s="94" t="n"/>
      <c r="B65" s="94" t="n"/>
      <c r="C65" s="94" t="n"/>
      <c r="D65" s="94" t="n"/>
      <c r="E65" s="94" t="n"/>
      <c r="F65" s="94" t="n"/>
      <c r="G65" s="94" t="n"/>
      <c r="H65" s="94" t="n"/>
      <c r="I65" s="92" t="n"/>
      <c r="J65" s="204" t="n"/>
      <c r="K65" s="220" t="n">
        <v>1644</v>
      </c>
      <c r="L65" s="220" t="n"/>
      <c r="M65" s="204" t="n"/>
      <c r="N65" s="204" t="n"/>
      <c r="O65" s="204" t="n"/>
      <c r="P65" s="204" t="n"/>
      <c r="Q65" s="77" t="n"/>
      <c r="R65" s="77" t="n"/>
      <c r="S65" s="204" t="n"/>
      <c r="T65" s="204" t="n"/>
      <c r="U65" s="204" t="n"/>
      <c r="V65" s="204" t="n"/>
      <c r="W65" s="204" t="n"/>
      <c r="X65" s="204" t="n"/>
      <c r="Y65" s="204" t="n"/>
      <c r="Z65" s="204" t="n"/>
      <c r="AA65" s="204" t="n"/>
      <c r="AB65" s="204" t="n"/>
      <c r="AC65" s="204" t="n"/>
      <c r="AD65" s="204" t="n"/>
      <c r="AE65" s="204" t="n"/>
      <c r="AF65" s="204" t="n"/>
      <c r="AG65" s="204" t="n"/>
      <c r="AH65" s="204" t="n"/>
      <c r="AI65" s="204" t="n"/>
      <c r="AJ65" s="204" t="n"/>
      <c r="AK65" s="204" t="n"/>
      <c r="AL65" s="171" t="n"/>
      <c r="AM65" s="184" t="n"/>
      <c r="AN65" s="184" t="n"/>
      <c r="AO65" s="184" t="n"/>
      <c r="AP65" s="184" t="n"/>
      <c r="AQ65" s="184" t="n"/>
      <c r="AR65" s="184" t="n"/>
      <c r="AS65" s="184" t="n"/>
      <c r="AT65" s="184" t="n"/>
      <c r="AU65" s="204" t="n"/>
      <c r="AV65" s="204" t="n"/>
      <c r="AW65" s="204" t="n"/>
      <c r="AX65" s="204" t="n"/>
      <c r="AY65" s="204" t="n"/>
      <c r="AZ65" s="204" t="n"/>
      <c r="BA65" s="204" t="n"/>
      <c r="BB65" s="204" t="n"/>
      <c r="BC65" s="83" t="n"/>
    </row>
    <row r="66" ht="15.75" customHeight="1" s="163">
      <c r="A66" s="94" t="n"/>
      <c r="B66" s="94" t="n"/>
      <c r="C66" s="94" t="n"/>
      <c r="D66" s="94" t="n"/>
      <c r="E66" s="94" t="n"/>
      <c r="F66" s="94" t="n"/>
      <c r="G66" s="94" t="n"/>
      <c r="H66" s="94" t="n"/>
      <c r="I66" s="94" t="n"/>
      <c r="J66" s="67" t="n"/>
      <c r="K66" s="207" t="n">
        <v>1645</v>
      </c>
      <c r="L66" s="20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  <c r="AA66" s="67" t="n"/>
      <c r="AB66" s="67" t="n"/>
      <c r="AC66" s="67" t="n"/>
      <c r="AD66" s="67" t="n"/>
      <c r="AE66" s="67" t="n"/>
      <c r="AF66" s="67" t="n"/>
      <c r="AG66" s="67" t="n"/>
      <c r="AH66" s="67" t="n"/>
      <c r="AI66" s="67" t="n"/>
      <c r="AJ66" s="67" t="n"/>
      <c r="AK66" s="67" t="n"/>
      <c r="AL66" s="94" t="n"/>
      <c r="AM66" s="94" t="n"/>
      <c r="AN66" s="94" t="n"/>
      <c r="AO66" s="94" t="n"/>
      <c r="AP66" s="94" t="n"/>
      <c r="AQ66" s="94" t="n"/>
      <c r="AR66" s="94" t="n"/>
      <c r="AS66" s="94" t="n"/>
      <c r="AT66" s="94" t="n"/>
      <c r="AU66" s="94" t="n"/>
      <c r="AV66" s="94" t="n"/>
      <c r="AW66" s="94" t="n"/>
      <c r="AX66" s="94" t="n"/>
      <c r="AY66" s="94" t="n"/>
      <c r="AZ66" s="94" t="n"/>
      <c r="BA66" s="94" t="n"/>
      <c r="BB66" s="94" t="n"/>
      <c r="BC66" s="83" t="n"/>
    </row>
    <row r="67" ht="15.75" customHeight="1" s="163">
      <c r="A67" s="94" t="n"/>
      <c r="B67" s="94" t="n"/>
      <c r="C67" s="94" t="n"/>
      <c r="D67" s="94" t="n"/>
      <c r="E67" s="94" t="n"/>
      <c r="F67" s="94" t="n"/>
      <c r="G67" s="94" t="n"/>
      <c r="H67" s="94" t="n"/>
      <c r="I67" s="94" t="n"/>
      <c r="J67" s="204" t="n"/>
      <c r="K67" s="220" t="n">
        <v>1646</v>
      </c>
      <c r="L67" s="220" t="n"/>
      <c r="M67" s="204" t="n"/>
      <c r="N67" s="204" t="n"/>
      <c r="O67" s="204" t="n"/>
      <c r="P67" s="204" t="n"/>
      <c r="Q67" s="94" t="n"/>
      <c r="R67" s="94" t="n"/>
      <c r="S67" s="204" t="n"/>
      <c r="T67" s="204" t="n"/>
      <c r="U67" s="204" t="n"/>
      <c r="V67" s="204" t="n"/>
      <c r="W67" s="204" t="n"/>
      <c r="X67" s="204" t="n"/>
      <c r="Y67" s="204" t="n"/>
      <c r="Z67" s="204" t="n"/>
      <c r="AA67" s="94" t="n"/>
      <c r="AB67" s="94" t="n"/>
      <c r="AC67" s="94" t="n"/>
      <c r="AD67" s="94" t="n"/>
      <c r="AE67" s="94" t="n"/>
      <c r="AF67" s="94" t="n"/>
      <c r="AG67" s="94" t="n"/>
      <c r="AH67" s="94" t="n"/>
      <c r="AI67" s="94" t="n"/>
      <c r="AJ67" s="94" t="n"/>
      <c r="AK67" s="94" t="n"/>
      <c r="AL67" s="94" t="n"/>
      <c r="AM67" s="94" t="n"/>
      <c r="AN67" s="94" t="n"/>
      <c r="AO67" s="94" t="n"/>
      <c r="AP67" s="94" t="n"/>
      <c r="AQ67" s="94" t="n"/>
      <c r="AR67" s="94" t="n"/>
      <c r="AS67" s="94" t="n"/>
      <c r="AT67" s="94" t="n"/>
      <c r="AU67" s="94" t="n"/>
      <c r="AV67" s="94" t="n"/>
      <c r="AW67" s="94" t="n"/>
      <c r="AX67" s="94" t="n"/>
      <c r="AY67" s="94" t="n"/>
      <c r="AZ67" s="94" t="n"/>
      <c r="BA67" s="94" t="n"/>
      <c r="BB67" s="94" t="n"/>
      <c r="BC67" s="83" t="n"/>
    </row>
    <row r="68" ht="15.75" customHeight="1" s="163">
      <c r="A68" s="92" t="n"/>
      <c r="B68" s="94" t="n"/>
      <c r="C68" s="94" t="n"/>
      <c r="D68" s="94" t="n"/>
      <c r="E68" s="94" t="n"/>
      <c r="F68" s="94" t="n"/>
      <c r="G68" s="94" t="n"/>
      <c r="H68" s="94" t="n"/>
      <c r="I68" s="94" t="n"/>
      <c r="J68" s="94" t="n"/>
      <c r="K68" s="207" t="n">
        <v>1647</v>
      </c>
      <c r="L68" s="207" t="n"/>
      <c r="M68" s="94" t="n"/>
      <c r="N68" s="94" t="n"/>
      <c r="O68" s="94" t="n"/>
      <c r="P68" s="94" t="n"/>
      <c r="Q68" s="94" t="n"/>
      <c r="R68" s="94" t="n"/>
      <c r="S68" s="94" t="n"/>
      <c r="T68" s="94" t="n"/>
      <c r="U68" s="94" t="n"/>
      <c r="V68" s="94" t="n"/>
      <c r="W68" s="94" t="n"/>
      <c r="X68" s="94" t="n"/>
      <c r="Y68" s="94" t="n"/>
      <c r="Z68" s="94" t="n"/>
      <c r="AA68" s="94" t="n"/>
      <c r="AB68" s="94" t="n"/>
      <c r="AC68" s="94" t="n"/>
      <c r="AD68" s="94" t="n"/>
      <c r="AE68" s="94" t="n"/>
      <c r="AF68" s="94" t="n"/>
      <c r="AG68" s="94" t="n"/>
      <c r="AH68" s="94" t="n"/>
      <c r="AI68" s="94" t="n"/>
      <c r="AJ68" s="94" t="n"/>
      <c r="AK68" s="94" t="n"/>
      <c r="AL68" s="94" t="n"/>
      <c r="AM68" s="94" t="n"/>
      <c r="AN68" s="94" t="n"/>
      <c r="AO68" s="94" t="n"/>
      <c r="AP68" s="94" t="n"/>
      <c r="AQ68" s="94" t="n"/>
      <c r="AR68" s="94" t="n"/>
      <c r="AS68" s="94" t="n"/>
      <c r="AT68" s="94" t="n"/>
      <c r="AU68" s="94" t="n"/>
      <c r="AV68" s="94" t="n"/>
      <c r="AW68" s="94" t="n"/>
      <c r="AX68" s="94" t="n"/>
      <c r="AY68" s="94" t="n"/>
      <c r="AZ68" s="94" t="n"/>
      <c r="BA68" s="94" t="n"/>
      <c r="BB68" s="94" t="n"/>
      <c r="BC68" s="83" t="n"/>
    </row>
    <row r="69" ht="15.75" customHeight="1" s="163">
      <c r="A69" s="92" t="n"/>
      <c r="B69" s="94" t="n"/>
      <c r="C69" s="94" t="n"/>
      <c r="D69" s="94" t="n"/>
      <c r="E69" s="94" t="n"/>
      <c r="F69" s="94" t="n"/>
      <c r="G69" s="94" t="n"/>
      <c r="H69" s="94" t="n"/>
      <c r="I69" s="94" t="n"/>
      <c r="J69" s="94" t="n"/>
      <c r="K69" s="207" t="n">
        <v>1648</v>
      </c>
      <c r="L69" s="207" t="n"/>
      <c r="M69" s="94" t="n"/>
      <c r="N69" s="94" t="n"/>
      <c r="O69" s="94" t="n"/>
      <c r="P69" s="94" t="n"/>
      <c r="Q69" s="94" t="n"/>
      <c r="R69" s="94" t="n"/>
      <c r="S69" s="94" t="n"/>
      <c r="T69" s="94" t="n"/>
      <c r="U69" s="94" t="n"/>
      <c r="V69" s="94" t="n"/>
      <c r="W69" s="94" t="n"/>
      <c r="X69" s="94" t="n"/>
      <c r="Y69" s="94" t="n"/>
      <c r="Z69" s="94" t="n"/>
      <c r="AA69" s="94" t="n"/>
      <c r="AB69" s="94" t="n"/>
      <c r="AC69" s="94" t="n"/>
      <c r="AD69" s="94" t="n"/>
      <c r="AE69" s="94" t="n"/>
      <c r="AF69" s="94" t="n"/>
      <c r="AG69" s="94" t="n"/>
      <c r="AH69" s="94" t="n"/>
      <c r="AI69" s="94" t="n"/>
      <c r="AJ69" s="94" t="n"/>
      <c r="AK69" s="94" t="n"/>
      <c r="AL69" s="94" t="n"/>
      <c r="AM69" s="94" t="n"/>
      <c r="AN69" s="94" t="n"/>
      <c r="AO69" s="94" t="n"/>
      <c r="AP69" s="94" t="n"/>
      <c r="AQ69" s="94" t="n"/>
      <c r="AR69" s="94" t="n"/>
      <c r="AS69" s="94" t="n"/>
      <c r="AT69" s="94" t="n"/>
      <c r="AU69" s="94" t="n"/>
      <c r="AV69" s="94" t="n"/>
      <c r="AW69" s="94" t="n"/>
      <c r="AX69" s="94" t="n"/>
      <c r="AY69" s="94" t="n"/>
      <c r="AZ69" s="94" t="n"/>
      <c r="BA69" s="94" t="n"/>
      <c r="BB69" s="94" t="n"/>
      <c r="BC69" s="83" t="n"/>
    </row>
    <row r="70" ht="15.75" customHeight="1" s="163">
      <c r="A70" s="94" t="n"/>
      <c r="B70" s="94" t="n"/>
      <c r="C70" s="94" t="n"/>
      <c r="D70" s="94" t="n"/>
      <c r="E70" s="94" t="n"/>
      <c r="F70" s="94" t="n"/>
      <c r="G70" s="94" t="n"/>
      <c r="H70" s="94" t="n"/>
      <c r="I70" s="94" t="n"/>
      <c r="J70" s="94" t="n"/>
      <c r="K70" s="207" t="n">
        <v>1649</v>
      </c>
      <c r="L70" s="207" t="n"/>
      <c r="M70" s="94" t="n"/>
      <c r="N70" s="94" t="n"/>
      <c r="O70" s="94" t="n"/>
      <c r="P70" s="94" t="n"/>
      <c r="Q70" s="94" t="n"/>
      <c r="R70" s="94" t="n"/>
      <c r="S70" s="94" t="n"/>
      <c r="T70" s="94" t="n"/>
      <c r="U70" s="94" t="n"/>
      <c r="V70" s="94" t="n"/>
      <c r="W70" s="94" t="n"/>
      <c r="X70" s="94" t="n"/>
      <c r="Y70" s="94" t="n"/>
      <c r="Z70" s="94" t="n"/>
      <c r="AA70" s="94" t="n"/>
      <c r="AB70" s="94" t="n"/>
      <c r="AC70" s="94" t="n"/>
      <c r="AD70" s="94" t="n"/>
      <c r="AE70" s="94" t="n"/>
      <c r="AF70" s="94" t="n"/>
      <c r="AG70" s="94" t="n"/>
      <c r="AH70" s="94" t="n"/>
      <c r="AI70" s="94" t="n"/>
      <c r="AJ70" s="94" t="n"/>
      <c r="AK70" s="94" t="n"/>
      <c r="AL70" s="94" t="n"/>
      <c r="AM70" s="94" t="n"/>
      <c r="AN70" s="94" t="n"/>
      <c r="AO70" s="94" t="n"/>
      <c r="AP70" s="94" t="n"/>
      <c r="AQ70" s="94" t="n"/>
      <c r="AR70" s="94" t="n"/>
      <c r="AS70" s="94" t="n"/>
      <c r="AT70" s="94" t="n"/>
      <c r="AU70" s="94" t="n"/>
      <c r="AV70" s="94" t="n"/>
      <c r="AW70" s="94" t="n"/>
      <c r="AX70" s="94" t="n"/>
      <c r="AY70" s="94" t="n"/>
      <c r="AZ70" s="94" t="n"/>
      <c r="BA70" s="94" t="n"/>
      <c r="BB70" s="94" t="n"/>
      <c r="BC70" s="83" t="n"/>
    </row>
    <row r="71" ht="15.75" customHeight="1" s="163">
      <c r="A71" s="94" t="n"/>
      <c r="B71" s="94" t="n"/>
      <c r="C71" s="94" t="n"/>
      <c r="D71" s="94" t="n"/>
      <c r="E71" s="94" t="n"/>
      <c r="F71" s="94" t="n"/>
      <c r="G71" s="94" t="n"/>
      <c r="H71" s="94" t="n"/>
      <c r="I71" s="94" t="n"/>
      <c r="J71" s="94" t="n"/>
      <c r="K71" s="207" t="n">
        <v>1650</v>
      </c>
      <c r="L71" s="207" t="n"/>
      <c r="M71" s="94" t="n"/>
      <c r="N71" s="94" t="n"/>
      <c r="O71" s="94" t="n"/>
      <c r="P71" s="94" t="n"/>
      <c r="Q71" s="94" t="n"/>
      <c r="R71" s="94" t="n"/>
      <c r="S71" s="94" t="n"/>
      <c r="T71" s="94" t="n"/>
      <c r="U71" s="94" t="n"/>
      <c r="V71" s="94" t="n"/>
      <c r="W71" s="94" t="n"/>
      <c r="X71" s="94" t="n"/>
      <c r="Y71" s="94" t="n"/>
      <c r="Z71" s="94" t="n"/>
      <c r="AA71" s="94" t="n"/>
      <c r="AB71" s="94" t="n"/>
      <c r="AC71" s="94" t="n"/>
      <c r="AD71" s="94" t="n"/>
      <c r="AE71" s="94" t="n"/>
      <c r="AF71" s="94" t="n"/>
      <c r="AG71" s="94" t="n"/>
      <c r="AH71" s="94" t="n"/>
      <c r="AI71" s="94" t="n"/>
      <c r="AJ71" s="94" t="n"/>
      <c r="AK71" s="94" t="n"/>
      <c r="AL71" s="94" t="n"/>
      <c r="AM71" s="94" t="n"/>
      <c r="AN71" s="94" t="n"/>
      <c r="AO71" s="94" t="n"/>
      <c r="AP71" s="94" t="n"/>
      <c r="AQ71" s="94" t="n"/>
      <c r="AR71" s="94" t="n"/>
      <c r="AS71" s="94" t="n"/>
      <c r="AT71" s="94" t="n"/>
      <c r="AU71" s="94" t="n"/>
      <c r="AV71" s="94" t="n"/>
      <c r="AW71" s="94" t="n"/>
      <c r="AX71" s="94" t="n"/>
      <c r="AY71" s="94" t="n"/>
      <c r="AZ71" s="94" t="n"/>
      <c r="BA71" s="94" t="n"/>
      <c r="BB71" s="94" t="n"/>
      <c r="BC71" s="83" t="n"/>
    </row>
    <row r="72" ht="15.75" customHeight="1" s="163">
      <c r="A72" s="94" t="n"/>
      <c r="B72" s="94" t="n"/>
      <c r="C72" s="94" t="n"/>
      <c r="D72" s="94" t="n"/>
      <c r="E72" s="94" t="n"/>
      <c r="F72" s="94" t="n"/>
      <c r="G72" s="94" t="n"/>
      <c r="H72" s="94" t="n"/>
      <c r="I72" s="94" t="n"/>
      <c r="J72" s="204" t="n"/>
      <c r="K72" s="220" t="n">
        <v>1651</v>
      </c>
      <c r="L72" s="220" t="n"/>
      <c r="M72" s="204" t="n"/>
      <c r="N72" s="204" t="n"/>
      <c r="O72" s="204" t="n"/>
      <c r="P72" s="204" t="n"/>
      <c r="Q72" s="94" t="n"/>
      <c r="R72" s="94" t="n"/>
      <c r="S72" s="204" t="n"/>
      <c r="T72" s="204" t="n"/>
      <c r="U72" s="204" t="n"/>
      <c r="V72" s="204" t="n"/>
      <c r="W72" s="204" t="n"/>
      <c r="X72" s="204" t="n"/>
      <c r="Y72" s="204" t="n"/>
      <c r="Z72" s="204" t="n"/>
      <c r="AA72" s="94" t="n"/>
      <c r="AB72" s="94" t="n"/>
      <c r="AC72" s="94" t="n"/>
      <c r="AD72" s="94" t="n"/>
      <c r="AE72" s="94" t="n"/>
      <c r="AF72" s="94" t="n"/>
      <c r="AG72" s="94" t="n"/>
      <c r="AH72" s="94" t="n"/>
      <c r="AI72" s="94" t="n"/>
      <c r="AJ72" s="94" t="n"/>
      <c r="AK72" s="94" t="n"/>
      <c r="AL72" s="94" t="n"/>
      <c r="AM72" s="94" t="n"/>
      <c r="AN72" s="94" t="n"/>
      <c r="AO72" s="94" t="n"/>
      <c r="AP72" s="94" t="n"/>
      <c r="AQ72" s="94" t="n"/>
      <c r="AR72" s="94" t="n"/>
      <c r="AS72" s="94" t="n"/>
      <c r="AT72" s="94" t="n"/>
      <c r="AU72" s="94" t="n"/>
      <c r="AV72" s="94" t="n"/>
      <c r="AW72" s="94" t="n"/>
      <c r="AX72" s="94" t="n"/>
      <c r="AY72" s="94" t="n"/>
      <c r="AZ72" s="94" t="n"/>
      <c r="BA72" s="94" t="n"/>
      <c r="BB72" s="94" t="n"/>
      <c r="BC72" s="83" t="n"/>
    </row>
    <row r="73" ht="15.75" customHeight="1" s="163">
      <c r="A73" s="94" t="n"/>
      <c r="B73" s="94" t="n"/>
      <c r="C73" s="94" t="n"/>
      <c r="D73" s="94" t="n"/>
      <c r="E73" s="94" t="n"/>
      <c r="F73" s="94" t="n"/>
      <c r="G73" s="94" t="n"/>
      <c r="H73" s="94" t="n"/>
      <c r="I73" s="94" t="n"/>
      <c r="J73" s="94" t="n"/>
      <c r="K73" s="207" t="n">
        <v>1652</v>
      </c>
      <c r="L73" s="207" t="n"/>
      <c r="M73" s="94" t="n"/>
      <c r="N73" s="94" t="n"/>
      <c r="O73" s="94" t="n"/>
      <c r="P73" s="94" t="n"/>
      <c r="Q73" s="94" t="n"/>
      <c r="R73" s="94" t="n"/>
      <c r="S73" s="94" t="n"/>
      <c r="T73" s="94" t="n"/>
      <c r="U73" s="94" t="n"/>
      <c r="V73" s="94" t="n"/>
      <c r="W73" s="94" t="n"/>
      <c r="X73" s="94" t="n"/>
      <c r="Y73" s="94" t="n"/>
      <c r="Z73" s="94" t="n"/>
      <c r="AA73" s="94" t="n"/>
      <c r="AB73" s="94" t="n"/>
      <c r="AC73" s="94" t="n"/>
      <c r="AD73" s="94" t="n"/>
      <c r="AE73" s="94" t="n"/>
      <c r="AF73" s="94" t="n"/>
      <c r="AG73" s="94" t="n"/>
      <c r="AH73" s="94" t="n"/>
      <c r="AI73" s="94" t="n"/>
      <c r="AJ73" s="94" t="n"/>
      <c r="AK73" s="94" t="n"/>
      <c r="AL73" s="94" t="n"/>
      <c r="AM73" s="94" t="n"/>
      <c r="AN73" s="94" t="n"/>
      <c r="AO73" s="94" t="n"/>
      <c r="AP73" s="94" t="n"/>
      <c r="AQ73" s="94" t="n"/>
      <c r="AR73" s="94" t="n"/>
      <c r="AS73" s="94" t="n"/>
      <c r="AT73" s="94" t="n"/>
      <c r="AU73" s="94" t="n"/>
      <c r="AV73" s="94" t="n"/>
      <c r="AW73" s="94" t="n"/>
      <c r="AX73" s="94" t="n"/>
      <c r="AY73" s="94" t="n"/>
      <c r="AZ73" s="94" t="n"/>
      <c r="BA73" s="94" t="n"/>
      <c r="BB73" s="94" t="n"/>
      <c r="BC73" s="83" t="n"/>
    </row>
    <row r="74" ht="15.75" customHeight="1" s="163">
      <c r="A74" s="94" t="n"/>
      <c r="B74" s="94" t="n"/>
      <c r="C74" s="94" t="n"/>
      <c r="D74" s="94" t="n"/>
      <c r="E74" s="94" t="n"/>
      <c r="F74" s="94" t="n"/>
      <c r="G74" s="94" t="n"/>
      <c r="H74" s="94" t="n"/>
      <c r="I74" s="94" t="n"/>
      <c r="J74" s="204" t="n"/>
      <c r="K74" s="220" t="n">
        <v>1653</v>
      </c>
      <c r="L74" s="220" t="n"/>
      <c r="M74" s="204" t="n"/>
      <c r="N74" s="204" t="n"/>
      <c r="O74" s="204" t="n"/>
      <c r="P74" s="204" t="n"/>
      <c r="Q74" s="94" t="n"/>
      <c r="R74" s="94" t="n"/>
      <c r="S74" s="204" t="n"/>
      <c r="T74" s="204" t="n"/>
      <c r="U74" s="204" t="n"/>
      <c r="V74" s="204" t="n"/>
      <c r="W74" s="204" t="n"/>
      <c r="X74" s="204" t="n"/>
      <c r="Y74" s="204" t="n"/>
      <c r="Z74" s="204" t="n"/>
      <c r="AA74" s="94" t="n"/>
      <c r="AB74" s="94" t="n"/>
      <c r="AC74" s="94" t="n"/>
      <c r="AD74" s="94" t="n"/>
      <c r="AE74" s="94" t="n"/>
      <c r="AF74" s="94" t="n"/>
      <c r="AG74" s="94" t="n"/>
      <c r="AH74" s="94" t="n"/>
      <c r="AI74" s="94" t="n"/>
      <c r="AJ74" s="94" t="n"/>
      <c r="AK74" s="94" t="n"/>
      <c r="AL74" s="94" t="n"/>
      <c r="AM74" s="94" t="n"/>
      <c r="AN74" s="94" t="n"/>
      <c r="AO74" s="94" t="n"/>
      <c r="AP74" s="94" t="n"/>
      <c r="AQ74" s="94" t="n"/>
      <c r="AR74" s="94" t="n"/>
      <c r="AS74" s="94" t="n"/>
      <c r="AT74" s="94" t="n"/>
      <c r="AU74" s="94" t="n"/>
      <c r="AV74" s="94" t="n"/>
      <c r="AW74" s="94" t="n"/>
      <c r="AX74" s="94" t="n"/>
      <c r="AY74" s="94" t="n"/>
      <c r="AZ74" s="94" t="n"/>
      <c r="BA74" s="94" t="n"/>
      <c r="BB74" s="94" t="n"/>
      <c r="BC74" s="83" t="n"/>
    </row>
    <row r="75" ht="15.75" customHeight="1" s="163">
      <c r="A75" s="94" t="n"/>
      <c r="B75" s="94" t="n"/>
      <c r="C75" s="94" t="n"/>
      <c r="D75" s="94" t="n"/>
      <c r="E75" s="94" t="n"/>
      <c r="F75" s="94" t="n"/>
      <c r="G75" s="94" t="n"/>
      <c r="H75" s="94" t="n"/>
      <c r="I75" s="94" t="n"/>
      <c r="J75" s="94" t="n"/>
      <c r="K75" s="207" t="n">
        <v>1654</v>
      </c>
      <c r="L75" s="207" t="n"/>
      <c r="M75" s="94" t="n"/>
      <c r="N75" s="94" t="n"/>
      <c r="O75" s="94" t="n"/>
      <c r="P75" s="94" t="n"/>
      <c r="Q75" s="94" t="n"/>
      <c r="R75" s="94" t="n"/>
      <c r="S75" s="94" t="n"/>
      <c r="T75" s="94" t="n"/>
      <c r="U75" s="94" t="n"/>
      <c r="V75" s="94" t="n"/>
      <c r="W75" s="94" t="n"/>
      <c r="X75" s="94" t="n"/>
      <c r="Y75" s="94" t="n"/>
      <c r="Z75" s="94" t="n"/>
      <c r="AA75" s="94" t="n"/>
      <c r="AB75" s="94" t="n"/>
      <c r="AC75" s="94" t="n"/>
      <c r="AD75" s="94" t="n"/>
      <c r="AE75" s="94" t="n"/>
      <c r="AF75" s="94" t="n"/>
      <c r="AG75" s="94" t="n"/>
      <c r="AH75" s="94" t="n"/>
      <c r="AI75" s="94" t="n"/>
      <c r="AJ75" s="94" t="n"/>
      <c r="AK75" s="94" t="n"/>
      <c r="AL75" s="94" t="n"/>
      <c r="AM75" s="94" t="n"/>
      <c r="AN75" s="94" t="n"/>
      <c r="AO75" s="94" t="n"/>
      <c r="AP75" s="94" t="n"/>
      <c r="AQ75" s="94" t="n"/>
      <c r="AR75" s="94" t="n"/>
      <c r="AS75" s="94" t="n"/>
      <c r="AT75" s="94" t="n"/>
      <c r="AU75" s="94" t="n"/>
      <c r="AV75" s="94" t="n"/>
      <c r="AW75" s="94" t="n"/>
      <c r="AX75" s="94" t="n"/>
      <c r="AY75" s="94" t="n"/>
      <c r="AZ75" s="94" t="n"/>
      <c r="BA75" s="94" t="n"/>
      <c r="BB75" s="94" t="n"/>
      <c r="BC75" s="83" t="n"/>
    </row>
    <row r="76" ht="15.75" customHeight="1" s="163">
      <c r="A76" s="92" t="n"/>
      <c r="B76" s="94" t="n"/>
      <c r="C76" s="94" t="n"/>
      <c r="D76" s="94" t="n"/>
      <c r="E76" s="94" t="n"/>
      <c r="F76" s="94" t="n"/>
      <c r="G76" s="94" t="n"/>
      <c r="H76" s="94" t="n"/>
      <c r="I76" s="94" t="n"/>
      <c r="J76" s="94" t="n"/>
      <c r="K76" s="207" t="n">
        <v>1655</v>
      </c>
      <c r="L76" s="207" t="n"/>
      <c r="M76" s="94" t="n"/>
      <c r="N76" s="94" t="n"/>
      <c r="O76" s="94" t="n"/>
      <c r="P76" s="94" t="n"/>
      <c r="Q76" s="94" t="n"/>
      <c r="R76" s="94" t="n"/>
      <c r="S76" s="94" t="n"/>
      <c r="T76" s="94" t="n"/>
      <c r="U76" s="94" t="n"/>
      <c r="V76" s="94" t="n"/>
      <c r="W76" s="94" t="n"/>
      <c r="X76" s="94" t="n"/>
      <c r="Y76" s="94" t="n"/>
      <c r="Z76" s="94" t="n"/>
      <c r="AA76" s="94" t="n"/>
      <c r="AB76" s="94" t="n"/>
      <c r="AC76" s="94" t="n"/>
      <c r="AD76" s="94" t="n"/>
      <c r="AE76" s="94" t="n"/>
      <c r="AF76" s="94" t="n"/>
      <c r="AG76" s="94" t="n"/>
      <c r="AH76" s="94" t="n"/>
      <c r="AI76" s="94" t="n"/>
      <c r="AJ76" s="94" t="n"/>
      <c r="AK76" s="94" t="n"/>
      <c r="AL76" s="94" t="n"/>
      <c r="AM76" s="94" t="n"/>
      <c r="AN76" s="94" t="n"/>
      <c r="AO76" s="94" t="n"/>
      <c r="AP76" s="94" t="n"/>
      <c r="AQ76" s="94" t="n"/>
      <c r="AR76" s="94" t="n"/>
      <c r="AS76" s="94" t="n"/>
      <c r="AT76" s="94" t="n"/>
      <c r="AU76" s="94" t="n"/>
      <c r="AV76" s="94" t="n"/>
      <c r="AW76" s="94" t="n"/>
      <c r="AX76" s="94" t="n"/>
      <c r="AY76" s="94" t="n"/>
      <c r="AZ76" s="94" t="n"/>
      <c r="BA76" s="94" t="n"/>
      <c r="BB76" s="94" t="n"/>
      <c r="BC76" s="83" t="n"/>
    </row>
    <row r="77" ht="15.75" customHeight="1" s="163">
      <c r="A77" s="92" t="n"/>
      <c r="B77" s="94" t="n"/>
      <c r="C77" s="94" t="n"/>
      <c r="D77" s="94" t="n"/>
      <c r="E77" s="94" t="n"/>
      <c r="F77" s="94" t="n"/>
      <c r="G77" s="94" t="n"/>
      <c r="H77" s="94" t="n"/>
      <c r="I77" s="94" t="n"/>
      <c r="J77" s="94" t="n"/>
      <c r="K77" s="207" t="n">
        <v>1656</v>
      </c>
      <c r="L77" s="207" t="n"/>
      <c r="M77" s="94" t="n"/>
      <c r="N77" s="94" t="n"/>
      <c r="O77" s="94" t="n"/>
      <c r="P77" s="94" t="n"/>
      <c r="Q77" s="94" t="n"/>
      <c r="R77" s="94" t="n"/>
      <c r="S77" s="94" t="n"/>
      <c r="T77" s="94" t="n"/>
      <c r="U77" s="94" t="n"/>
      <c r="V77" s="94" t="n"/>
      <c r="W77" s="94" t="n"/>
      <c r="X77" s="94" t="n"/>
      <c r="Y77" s="94" t="n"/>
      <c r="Z77" s="94" t="n"/>
      <c r="AA77" s="94" t="n"/>
      <c r="AB77" s="94" t="n"/>
      <c r="AC77" s="94" t="n"/>
      <c r="AD77" s="94" t="n"/>
      <c r="AE77" s="94" t="n"/>
      <c r="AF77" s="94" t="n"/>
      <c r="AG77" s="94" t="n"/>
      <c r="AH77" s="94" t="n"/>
      <c r="AI77" s="94" t="n"/>
      <c r="AJ77" s="94" t="n"/>
      <c r="AK77" s="94" t="n"/>
      <c r="AL77" s="94" t="n"/>
      <c r="AM77" s="94" t="n"/>
      <c r="AN77" s="94" t="n"/>
      <c r="AO77" s="94" t="n"/>
      <c r="AP77" s="94" t="n"/>
      <c r="AQ77" s="94" t="n"/>
      <c r="AR77" s="94" t="n"/>
      <c r="AS77" s="94" t="n"/>
      <c r="AT77" s="94" t="n"/>
      <c r="AU77" s="94" t="n"/>
      <c r="AV77" s="94" t="n"/>
      <c r="AW77" s="94" t="n"/>
      <c r="AX77" s="94" t="n"/>
      <c r="AY77" s="94" t="n"/>
      <c r="AZ77" s="94" t="n"/>
      <c r="BA77" s="94" t="n"/>
      <c r="BB77" s="94" t="n"/>
      <c r="BC77" s="83" t="n"/>
    </row>
    <row r="78" ht="15.75" customHeight="1" s="163">
      <c r="A78" s="94" t="n"/>
      <c r="B78" s="94" t="n"/>
      <c r="C78" s="94" t="n"/>
      <c r="D78" s="94" t="n"/>
      <c r="E78" s="94" t="n"/>
      <c r="F78" s="94" t="n"/>
      <c r="G78" s="94" t="n"/>
      <c r="H78" s="94" t="n"/>
      <c r="I78" s="94" t="n"/>
      <c r="J78" s="94" t="n"/>
      <c r="K78" s="207" t="n">
        <v>1657</v>
      </c>
      <c r="L78" s="207" t="n"/>
      <c r="M78" s="94" t="n"/>
      <c r="N78" s="94" t="n"/>
      <c r="O78" s="94" t="n"/>
      <c r="P78" s="94" t="n"/>
      <c r="Q78" s="94" t="n"/>
      <c r="R78" s="94" t="n"/>
      <c r="S78" s="94" t="n"/>
      <c r="T78" s="94" t="n"/>
      <c r="U78" s="94" t="n"/>
      <c r="V78" s="94" t="n"/>
      <c r="W78" s="94" t="n"/>
      <c r="X78" s="94" t="n"/>
      <c r="Y78" s="94" t="n"/>
      <c r="Z78" s="94" t="n"/>
      <c r="AA78" s="94" t="n"/>
      <c r="AB78" s="94" t="n"/>
      <c r="AC78" s="94" t="n"/>
      <c r="AD78" s="94" t="n"/>
      <c r="AE78" s="94" t="n"/>
      <c r="AF78" s="94" t="n"/>
      <c r="AG78" s="94" t="n"/>
      <c r="AH78" s="94" t="n"/>
      <c r="AI78" s="94" t="n"/>
      <c r="AJ78" s="94" t="n"/>
      <c r="AK78" s="94" t="n"/>
      <c r="AL78" s="94" t="n"/>
      <c r="AM78" s="94" t="n"/>
      <c r="AN78" s="94" t="n"/>
      <c r="AO78" s="94" t="n"/>
      <c r="AP78" s="94" t="n"/>
      <c r="AQ78" s="94" t="n"/>
      <c r="AR78" s="94" t="n"/>
      <c r="AS78" s="94" t="n"/>
      <c r="AT78" s="94" t="n"/>
      <c r="AU78" s="94" t="n"/>
      <c r="AV78" s="94" t="n"/>
      <c r="AW78" s="94" t="n"/>
      <c r="AX78" s="94" t="n"/>
      <c r="AY78" s="94" t="n"/>
      <c r="AZ78" s="94" t="n"/>
      <c r="BA78" s="94" t="n"/>
      <c r="BB78" s="94" t="n"/>
      <c r="BC78" s="83" t="n"/>
    </row>
    <row r="79" ht="15.75" customHeight="1" s="163">
      <c r="A79" s="94" t="n"/>
      <c r="B79" s="94" t="n"/>
      <c r="C79" s="94" t="n"/>
      <c r="D79" s="94" t="n"/>
      <c r="E79" s="94" t="n"/>
      <c r="F79" s="94" t="n"/>
      <c r="G79" s="94" t="n"/>
      <c r="H79" s="94" t="n"/>
      <c r="I79" s="94" t="n"/>
      <c r="J79" s="204" t="n"/>
      <c r="K79" s="220" t="n">
        <v>1658</v>
      </c>
      <c r="L79" s="220" t="n"/>
      <c r="M79" s="204" t="n"/>
      <c r="N79" s="204" t="n"/>
      <c r="O79" s="204" t="n"/>
      <c r="P79" s="204" t="n"/>
      <c r="Q79" s="94" t="n"/>
      <c r="R79" s="94" t="n"/>
      <c r="S79" s="204" t="n"/>
      <c r="T79" s="204" t="n"/>
      <c r="U79" s="204" t="n"/>
      <c r="V79" s="204" t="n"/>
      <c r="W79" s="204" t="n"/>
      <c r="X79" s="204" t="n"/>
      <c r="Y79" s="204" t="n"/>
      <c r="Z79" s="204" t="n"/>
      <c r="AA79" s="94" t="n"/>
      <c r="AB79" s="94" t="n"/>
      <c r="AC79" s="94" t="n"/>
      <c r="AD79" s="94" t="n"/>
      <c r="AE79" s="94" t="n"/>
      <c r="AF79" s="94" t="n"/>
      <c r="AG79" s="94" t="n"/>
      <c r="AH79" s="94" t="n"/>
      <c r="AI79" s="94" t="n"/>
      <c r="AJ79" s="94" t="n"/>
      <c r="AK79" s="94" t="n"/>
      <c r="AL79" s="94" t="n"/>
      <c r="AM79" s="94" t="n"/>
      <c r="AN79" s="94" t="n"/>
      <c r="AO79" s="94" t="n"/>
      <c r="AP79" s="94" t="n"/>
      <c r="AQ79" s="94" t="n"/>
      <c r="AR79" s="94" t="n"/>
      <c r="AS79" s="94" t="n"/>
      <c r="AT79" s="94" t="n"/>
      <c r="AU79" s="94" t="n"/>
      <c r="AV79" s="94" t="n"/>
      <c r="AW79" s="94" t="n"/>
      <c r="AX79" s="94" t="n"/>
      <c r="AY79" s="94" t="n"/>
      <c r="AZ79" s="94" t="n"/>
      <c r="BA79" s="94" t="n"/>
      <c r="BB79" s="94" t="n"/>
      <c r="BC79" s="83" t="n"/>
    </row>
    <row r="80" ht="15.75" customHeight="1" s="163">
      <c r="A80" s="94" t="n"/>
      <c r="B80" s="94" t="n"/>
      <c r="C80" s="94" t="n"/>
      <c r="D80" s="94" t="n"/>
      <c r="E80" s="94" t="n"/>
      <c r="F80" s="94" t="n"/>
      <c r="G80" s="94" t="n"/>
      <c r="H80" s="94" t="n"/>
      <c r="I80" s="94" t="n"/>
      <c r="J80" s="94" t="n"/>
      <c r="K80" s="207" t="n">
        <v>1659</v>
      </c>
      <c r="L80" s="207" t="n"/>
      <c r="M80" s="94" t="n"/>
      <c r="N80" s="94" t="n"/>
      <c r="O80" s="94" t="n"/>
      <c r="P80" s="94" t="n"/>
      <c r="Q80" s="94" t="n"/>
      <c r="R80" s="94" t="n"/>
      <c r="S80" s="94" t="n"/>
      <c r="T80" s="94" t="n"/>
      <c r="U80" s="94" t="n"/>
      <c r="V80" s="94" t="n"/>
      <c r="W80" s="94" t="n"/>
      <c r="X80" s="94" t="n"/>
      <c r="Y80" s="94" t="n"/>
      <c r="Z80" s="94" t="n"/>
      <c r="AA80" s="94" t="n"/>
      <c r="AB80" s="94" t="n"/>
      <c r="AC80" s="94" t="n"/>
      <c r="AD80" s="94" t="n"/>
      <c r="AE80" s="94" t="n"/>
      <c r="AF80" s="94" t="n"/>
      <c r="AG80" s="94" t="n"/>
      <c r="AH80" s="94" t="n"/>
      <c r="AI80" s="94" t="n"/>
      <c r="AJ80" s="94" t="n"/>
      <c r="AK80" s="94" t="n"/>
      <c r="AL80" s="94" t="n"/>
      <c r="AM80" s="94" t="n"/>
      <c r="AN80" s="94" t="n"/>
      <c r="AO80" s="94" t="n"/>
      <c r="AP80" s="94" t="n"/>
      <c r="AQ80" s="94" t="n"/>
      <c r="AR80" s="94" t="n"/>
      <c r="AS80" s="94" t="n"/>
      <c r="AT80" s="94" t="n"/>
      <c r="AU80" s="94" t="n"/>
      <c r="AV80" s="94" t="n"/>
      <c r="AW80" s="94" t="n"/>
      <c r="AX80" s="94" t="n"/>
      <c r="AY80" s="94" t="n"/>
      <c r="AZ80" s="94" t="n"/>
      <c r="BA80" s="94" t="n"/>
      <c r="BB80" s="94" t="n"/>
      <c r="BC80" s="83" t="n"/>
    </row>
    <row r="81" ht="15.75" customHeight="1" s="163">
      <c r="A81" s="94" t="n"/>
      <c r="B81" s="94" t="n"/>
      <c r="C81" s="94" t="n"/>
      <c r="D81" s="94" t="n"/>
      <c r="E81" s="94" t="n"/>
      <c r="F81" s="94" t="n"/>
      <c r="G81" s="94" t="n"/>
      <c r="H81" s="94" t="n"/>
      <c r="I81" s="94" t="n"/>
      <c r="J81" s="204" t="n"/>
      <c r="K81" s="220" t="n">
        <v>1660</v>
      </c>
      <c r="L81" s="220" t="n"/>
      <c r="M81" s="204" t="n"/>
      <c r="N81" s="204" t="n"/>
      <c r="O81" s="204" t="n"/>
      <c r="P81" s="204" t="n"/>
      <c r="Q81" s="94" t="n"/>
      <c r="R81" s="94" t="n"/>
      <c r="S81" s="204" t="n"/>
      <c r="T81" s="204" t="n"/>
      <c r="U81" s="204" t="n"/>
      <c r="V81" s="204" t="n"/>
      <c r="W81" s="204" t="n"/>
      <c r="X81" s="204" t="n"/>
      <c r="Y81" s="204" t="n"/>
      <c r="Z81" s="204" t="n"/>
      <c r="AA81" s="94" t="n"/>
      <c r="AB81" s="94" t="n"/>
      <c r="AC81" s="94" t="n"/>
      <c r="AD81" s="94" t="n"/>
      <c r="AE81" s="94" t="n"/>
      <c r="AF81" s="94" t="n"/>
      <c r="AG81" s="94" t="n"/>
      <c r="AH81" s="94" t="n"/>
      <c r="AI81" s="94" t="n"/>
      <c r="AJ81" s="94" t="n"/>
      <c r="AK81" s="94" t="n"/>
      <c r="AL81" s="94" t="n"/>
      <c r="AM81" s="94" t="n"/>
      <c r="AN81" s="94" t="n"/>
      <c r="AO81" s="94" t="n"/>
      <c r="AP81" s="94" t="n"/>
      <c r="AQ81" s="94" t="n"/>
      <c r="AR81" s="94" t="n"/>
      <c r="AS81" s="94" t="n"/>
      <c r="AT81" s="94" t="n"/>
      <c r="AU81" s="94" t="n"/>
      <c r="AV81" s="94" t="n"/>
      <c r="AW81" s="94" t="n"/>
      <c r="AX81" s="94" t="n"/>
      <c r="AY81" s="94" t="n"/>
      <c r="AZ81" s="94" t="n"/>
      <c r="BA81" s="94" t="n"/>
      <c r="BB81" s="94" t="n"/>
      <c r="BC81" s="83" t="n"/>
    </row>
    <row r="82" ht="15.75" customHeight="1" s="163">
      <c r="A82" s="94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207" t="n">
        <v>1661</v>
      </c>
      <c r="L82" s="207" t="n"/>
      <c r="M82" s="94" t="n"/>
      <c r="N82" s="94" t="n"/>
      <c r="O82" s="94" t="n"/>
      <c r="P82" s="94" t="n"/>
      <c r="Q82" s="94" t="n"/>
      <c r="R82" s="94" t="n"/>
      <c r="S82" s="94" t="n"/>
      <c r="T82" s="94" t="n"/>
      <c r="U82" s="94" t="n"/>
      <c r="V82" s="94" t="n"/>
      <c r="W82" s="94" t="n"/>
      <c r="X82" s="94" t="n"/>
      <c r="Y82" s="94" t="n"/>
      <c r="Z82" s="94" t="n"/>
      <c r="AA82" s="94" t="n"/>
      <c r="AB82" s="94" t="n"/>
      <c r="AC82" s="94" t="n"/>
      <c r="AD82" s="94" t="n"/>
      <c r="AE82" s="94" t="n"/>
      <c r="AF82" s="94" t="n"/>
      <c r="AG82" s="94" t="n"/>
      <c r="AH82" s="94" t="n"/>
      <c r="AI82" s="94" t="n"/>
      <c r="AJ82" s="94" t="n"/>
      <c r="AK82" s="94" t="n"/>
      <c r="AL82" s="94" t="n"/>
      <c r="AM82" s="94" t="n"/>
      <c r="AN82" s="94" t="n"/>
      <c r="AO82" s="94" t="n"/>
      <c r="AP82" s="94" t="n"/>
      <c r="AQ82" s="94" t="n"/>
      <c r="AR82" s="94" t="n"/>
      <c r="AS82" s="94" t="n"/>
      <c r="AT82" s="94" t="n"/>
      <c r="AU82" s="94" t="n"/>
      <c r="AV82" s="94" t="n"/>
      <c r="AW82" s="94" t="n"/>
      <c r="AX82" s="94" t="n"/>
      <c r="AY82" s="94" t="n"/>
      <c r="AZ82" s="94" t="n"/>
      <c r="BA82" s="94" t="n"/>
      <c r="BB82" s="94" t="n"/>
      <c r="BC82" s="83" t="n"/>
    </row>
    <row r="83" ht="15.75" customHeight="1" s="163">
      <c r="A83" s="94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207" t="n">
        <v>1662</v>
      </c>
      <c r="L83" s="207" t="n"/>
      <c r="M83" s="94" t="n"/>
      <c r="N83" s="94" t="n"/>
      <c r="O83" s="94" t="n"/>
      <c r="P83" s="94" t="n"/>
      <c r="Q83" s="94" t="n"/>
      <c r="R83" s="94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  <c r="AB83" s="94" t="n"/>
      <c r="AC83" s="94" t="n"/>
      <c r="AD83" s="94" t="n"/>
      <c r="AE83" s="94" t="n"/>
      <c r="AF83" s="94" t="n"/>
      <c r="AG83" s="94" t="n"/>
      <c r="AH83" s="94" t="n"/>
      <c r="AI83" s="94" t="n"/>
      <c r="AJ83" s="94" t="n"/>
      <c r="AK83" s="94" t="n"/>
      <c r="AL83" s="94" t="n"/>
      <c r="AM83" s="94" t="n"/>
      <c r="AN83" s="94" t="n"/>
      <c r="AO83" s="94" t="n"/>
      <c r="AP83" s="94" t="n"/>
      <c r="AQ83" s="94" t="n"/>
      <c r="AR83" s="94" t="n"/>
      <c r="AS83" s="94" t="n"/>
      <c r="AT83" s="94" t="n"/>
      <c r="AU83" s="94" t="n"/>
      <c r="AV83" s="94" t="n"/>
      <c r="AW83" s="94" t="n"/>
      <c r="AX83" s="94" t="n"/>
      <c r="AY83" s="94" t="n"/>
      <c r="AZ83" s="94" t="n"/>
      <c r="BA83" s="94" t="n"/>
      <c r="BB83" s="94" t="n"/>
      <c r="BC83" s="83" t="n"/>
    </row>
    <row r="84" ht="15.75" customHeight="1" s="163">
      <c r="A84" s="92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207" t="n">
        <v>1663</v>
      </c>
      <c r="L84" s="207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4" t="n"/>
      <c r="AB84" s="94" t="n"/>
      <c r="AC84" s="94" t="n"/>
      <c r="AD84" s="94" t="n"/>
      <c r="AE84" s="94" t="n"/>
      <c r="AF84" s="94" t="n"/>
      <c r="AG84" s="94" t="n"/>
      <c r="AH84" s="94" t="n"/>
      <c r="AI84" s="94" t="n"/>
      <c r="AJ84" s="94" t="n"/>
      <c r="AK84" s="94" t="n"/>
      <c r="AL84" s="94" t="n"/>
      <c r="AM84" s="94" t="n"/>
      <c r="AN84" s="94" t="n"/>
      <c r="AO84" s="94" t="n"/>
      <c r="AP84" s="94" t="n"/>
      <c r="AQ84" s="94" t="n"/>
      <c r="AR84" s="94" t="n"/>
      <c r="AS84" s="94" t="n"/>
      <c r="AT84" s="94" t="n"/>
      <c r="AU84" s="94" t="n"/>
      <c r="AV84" s="94" t="n"/>
      <c r="AW84" s="94" t="n"/>
      <c r="AX84" s="94" t="n"/>
      <c r="AY84" s="94" t="n"/>
      <c r="AZ84" s="94" t="n"/>
      <c r="BA84" s="94" t="n"/>
      <c r="BB84" s="94" t="n"/>
      <c r="BC84" s="94" t="n"/>
    </row>
    <row r="85" ht="15.75" customHeight="1" s="163">
      <c r="A85" s="92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207" t="n">
        <v>1664</v>
      </c>
      <c r="L85" s="207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  <c r="AB85" s="94" t="n"/>
      <c r="AC85" s="94" t="n"/>
      <c r="AD85" s="94" t="n"/>
      <c r="AE85" s="94" t="n"/>
      <c r="AF85" s="94" t="n"/>
      <c r="AG85" s="94" t="n"/>
      <c r="AH85" s="94" t="n"/>
      <c r="AI85" s="94" t="n"/>
      <c r="AJ85" s="94" t="n"/>
      <c r="AK85" s="94" t="n"/>
      <c r="AL85" s="94" t="n"/>
      <c r="AM85" s="94" t="n"/>
      <c r="AN85" s="94" t="n"/>
      <c r="AO85" s="94" t="n"/>
      <c r="AP85" s="94" t="n"/>
      <c r="AQ85" s="94" t="n"/>
      <c r="AR85" s="94" t="n"/>
      <c r="AS85" s="94" t="n"/>
      <c r="AT85" s="94" t="n"/>
      <c r="AU85" s="94" t="n"/>
      <c r="AV85" s="94" t="n"/>
      <c r="AW85" s="94" t="n"/>
      <c r="AX85" s="94" t="n"/>
      <c r="AY85" s="94" t="n"/>
      <c r="AZ85" s="94" t="n"/>
      <c r="BA85" s="94" t="n"/>
      <c r="BB85" s="94" t="n"/>
      <c r="BC85" s="94" t="n"/>
    </row>
    <row r="86" ht="15.75" customHeight="1" s="163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204" t="n"/>
      <c r="K86" s="220" t="n">
        <v>1665</v>
      </c>
      <c r="L86" s="220" t="n"/>
      <c r="M86" s="204" t="n"/>
      <c r="N86" s="204" t="n"/>
      <c r="O86" s="204" t="n"/>
      <c r="P86" s="204" t="n"/>
      <c r="Q86" s="94" t="n"/>
      <c r="R86" s="94" t="n"/>
      <c r="S86" s="204" t="n"/>
      <c r="T86" s="204" t="n"/>
      <c r="U86" s="204" t="n"/>
      <c r="V86" s="204" t="n"/>
      <c r="W86" s="204" t="n"/>
      <c r="X86" s="204" t="n"/>
      <c r="Y86" s="204" t="n"/>
      <c r="Z86" s="204" t="n"/>
      <c r="AA86" s="94" t="n"/>
      <c r="AB86" s="94" t="n"/>
      <c r="AC86" s="94" t="n"/>
      <c r="AD86" s="94" t="n"/>
      <c r="AE86" s="94" t="n"/>
      <c r="AF86" s="94" t="n"/>
      <c r="AG86" s="94" t="n"/>
      <c r="AH86" s="94" t="n"/>
      <c r="AI86" s="94" t="n"/>
      <c r="AJ86" s="94" t="n"/>
      <c r="AK86" s="94" t="n"/>
      <c r="AL86" s="94" t="n"/>
      <c r="AM86" s="94" t="n"/>
      <c r="AN86" s="94" t="n"/>
      <c r="AO86" s="94" t="n"/>
      <c r="AP86" s="94" t="n"/>
      <c r="AQ86" s="94" t="n"/>
      <c r="AR86" s="94" t="n"/>
      <c r="AS86" s="94" t="n"/>
      <c r="AT86" s="94" t="n"/>
      <c r="AU86" s="94" t="n"/>
      <c r="AV86" s="94" t="n"/>
      <c r="AW86" s="94" t="n"/>
      <c r="AX86" s="94" t="n"/>
      <c r="AY86" s="94" t="n"/>
      <c r="AZ86" s="94" t="n"/>
      <c r="BA86" s="94" t="n"/>
      <c r="BB86" s="94" t="n"/>
      <c r="BC86" s="94" t="n"/>
    </row>
    <row r="87" ht="15.75" customHeight="1" s="163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207" t="n">
        <v>1666</v>
      </c>
      <c r="L87" s="207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  <c r="AB87" s="94" t="n"/>
      <c r="AC87" s="94" t="n"/>
      <c r="AD87" s="94" t="n"/>
      <c r="AE87" s="94" t="n"/>
      <c r="AF87" s="94" t="n"/>
      <c r="AG87" s="94" t="n"/>
      <c r="AH87" s="94" t="n"/>
      <c r="AI87" s="94" t="n"/>
      <c r="AJ87" s="94" t="n"/>
      <c r="AK87" s="94" t="n"/>
      <c r="AL87" s="94" t="n"/>
      <c r="AM87" s="94" t="n"/>
      <c r="AN87" s="94" t="n"/>
      <c r="AO87" s="94" t="n"/>
      <c r="AP87" s="94" t="n"/>
      <c r="AQ87" s="94" t="n"/>
      <c r="AR87" s="94" t="n"/>
      <c r="AS87" s="94" t="n"/>
      <c r="AT87" s="94" t="n"/>
      <c r="AU87" s="94" t="n"/>
      <c r="AV87" s="94" t="n"/>
      <c r="AW87" s="94" t="n"/>
      <c r="AX87" s="94" t="n"/>
      <c r="AY87" s="94" t="n"/>
      <c r="AZ87" s="94" t="n"/>
      <c r="BA87" s="94" t="n"/>
      <c r="BB87" s="94" t="n"/>
      <c r="BC87" s="94" t="n"/>
    </row>
    <row r="88" ht="15.75" customHeight="1" s="163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207" t="n">
        <v>1667</v>
      </c>
      <c r="L88" s="207" t="n"/>
      <c r="M88" s="94" t="n"/>
      <c r="N88" s="94" t="n"/>
      <c r="O88" s="94" t="n"/>
      <c r="P88" s="94" t="n"/>
      <c r="Q88" s="94" t="n"/>
      <c r="R88" s="94" t="n"/>
      <c r="S88" s="204" t="n"/>
      <c r="T88" s="204" t="n"/>
      <c r="U88" s="204" t="n"/>
      <c r="V88" s="204" t="n"/>
      <c r="W88" s="204" t="n"/>
      <c r="X88" s="204" t="n"/>
      <c r="Y88" s="204" t="n"/>
      <c r="Z88" s="204" t="n"/>
      <c r="AA88" s="94" t="n"/>
      <c r="AB88" s="94" t="n"/>
      <c r="AC88" s="94" t="n"/>
      <c r="AD88" s="94" t="n"/>
      <c r="AE88" s="94" t="n"/>
      <c r="AF88" s="94" t="n"/>
      <c r="AG88" s="94" t="n"/>
      <c r="AH88" s="94" t="n"/>
      <c r="AI88" s="94" t="n"/>
      <c r="AJ88" s="94" t="n"/>
      <c r="AK88" s="94" t="n"/>
      <c r="AL88" s="94" t="n"/>
      <c r="AM88" s="94" t="n"/>
      <c r="AN88" s="94" t="n"/>
      <c r="AO88" s="94" t="n"/>
      <c r="AP88" s="94" t="n"/>
      <c r="AQ88" s="94" t="n"/>
      <c r="AR88" s="94" t="n"/>
      <c r="AS88" s="94" t="n"/>
      <c r="AT88" s="94" t="n"/>
      <c r="AU88" s="94" t="n"/>
      <c r="AV88" s="94" t="n"/>
      <c r="AW88" s="94" t="n"/>
      <c r="AX88" s="94" t="n"/>
      <c r="AY88" s="94" t="n"/>
      <c r="AZ88" s="94" t="n"/>
      <c r="BA88" s="94" t="n"/>
      <c r="BB88" s="94" t="n"/>
      <c r="BC88" s="94" t="n"/>
    </row>
    <row r="89" ht="15.75" customHeight="1" s="163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207" t="n">
        <v>1668</v>
      </c>
      <c r="L89" s="207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  <c r="AB89" s="94" t="n"/>
      <c r="AC89" s="94" t="n"/>
      <c r="AD89" s="94" t="n"/>
      <c r="AE89" s="94" t="n"/>
      <c r="AF89" s="94" t="n"/>
      <c r="AG89" s="94" t="n"/>
      <c r="AH89" s="94" t="n"/>
      <c r="AI89" s="94" t="n"/>
      <c r="AJ89" s="94" t="n"/>
      <c r="AK89" s="94" t="n"/>
      <c r="AL89" s="94" t="n"/>
      <c r="AM89" s="94" t="n"/>
      <c r="AN89" s="94" t="n"/>
      <c r="AO89" s="94" t="n"/>
      <c r="AP89" s="94" t="n"/>
      <c r="AQ89" s="94" t="n"/>
      <c r="AR89" s="94" t="n"/>
      <c r="AS89" s="94" t="n"/>
      <c r="AT89" s="94" t="n"/>
      <c r="AU89" s="94" t="n"/>
      <c r="AV89" s="94" t="n"/>
      <c r="AW89" s="94" t="n"/>
      <c r="AX89" s="94" t="n"/>
      <c r="AY89" s="94" t="n"/>
      <c r="AZ89" s="94" t="n"/>
      <c r="BA89" s="94" t="n"/>
      <c r="BB89" s="94" t="n"/>
      <c r="BC89" s="94" t="n"/>
    </row>
    <row r="90" ht="15.75" customHeight="1" s="163">
      <c r="A90" s="94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207" t="n">
        <v>1669</v>
      </c>
      <c r="L90" s="207" t="n"/>
      <c r="M90" s="94" t="n"/>
      <c r="N90" s="94" t="n"/>
      <c r="O90" s="94" t="n"/>
      <c r="P90" s="94" t="n"/>
      <c r="Q90" s="94" t="n"/>
      <c r="R90" s="94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4" t="n"/>
      <c r="AB90" s="94" t="n"/>
      <c r="AC90" s="94" t="n"/>
      <c r="AD90" s="94" t="n"/>
      <c r="AE90" s="94" t="n"/>
      <c r="AF90" s="94" t="n"/>
      <c r="AG90" s="94" t="n"/>
      <c r="AH90" s="94" t="n"/>
      <c r="AI90" s="94" t="n"/>
      <c r="AJ90" s="94" t="n"/>
      <c r="AK90" s="94" t="n"/>
      <c r="AL90" s="94" t="n"/>
      <c r="AM90" s="94" t="n"/>
      <c r="AN90" s="94" t="n"/>
      <c r="AO90" s="94" t="n"/>
      <c r="AP90" s="94" t="n"/>
      <c r="AQ90" s="94" t="n"/>
      <c r="AR90" s="94" t="n"/>
      <c r="AS90" s="94" t="n"/>
      <c r="AT90" s="94" t="n"/>
      <c r="AU90" s="94" t="n"/>
      <c r="AV90" s="94" t="n"/>
      <c r="AW90" s="94" t="n"/>
      <c r="AX90" s="94" t="n"/>
      <c r="AY90" s="94" t="n"/>
      <c r="AZ90" s="94" t="n"/>
      <c r="BA90" s="94" t="n"/>
      <c r="BB90" s="94" t="n"/>
      <c r="BC90" s="94" t="n"/>
    </row>
    <row r="91" ht="15.75" customHeight="1" s="163">
      <c r="A91" s="94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207" t="n">
        <v>1670</v>
      </c>
      <c r="L91" s="207" t="n"/>
      <c r="M91" s="94" t="n"/>
      <c r="N91" s="94" t="n"/>
      <c r="O91" s="94" t="n"/>
      <c r="P91" s="94" t="n"/>
      <c r="Q91" s="94" t="n"/>
      <c r="R91" s="94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  <c r="AB91" s="94" t="n"/>
      <c r="AC91" s="94" t="n"/>
      <c r="AD91" s="94" t="n"/>
      <c r="AE91" s="94" t="n"/>
      <c r="AF91" s="94" t="n"/>
      <c r="AG91" s="94" t="n"/>
      <c r="AH91" s="94" t="n"/>
      <c r="AI91" s="94" t="n"/>
      <c r="AJ91" s="94" t="n"/>
      <c r="AK91" s="94" t="n"/>
      <c r="AL91" s="94" t="n"/>
      <c r="AM91" s="94" t="n"/>
      <c r="AN91" s="94" t="n"/>
      <c r="AO91" s="94" t="n"/>
      <c r="AP91" s="94" t="n"/>
      <c r="AQ91" s="94" t="n"/>
      <c r="AR91" s="94" t="n"/>
      <c r="AS91" s="94" t="n"/>
      <c r="AT91" s="94" t="n"/>
      <c r="AU91" s="94" t="n"/>
      <c r="AV91" s="94" t="n"/>
      <c r="AW91" s="94" t="n"/>
      <c r="AX91" s="94" t="n"/>
      <c r="AY91" s="94" t="n"/>
      <c r="AZ91" s="94" t="n"/>
      <c r="BA91" s="94" t="n"/>
      <c r="BB91" s="94" t="n"/>
      <c r="BC91" s="94" t="n"/>
    </row>
    <row r="92" ht="15.75" customHeight="1" s="163">
      <c r="A92" s="92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207" t="n">
        <v>1671</v>
      </c>
      <c r="L92" s="207" t="n"/>
      <c r="M92" s="94" t="n"/>
      <c r="N92" s="94" t="n"/>
      <c r="O92" s="94" t="n"/>
      <c r="P92" s="94" t="n"/>
      <c r="Q92" s="94" t="n"/>
      <c r="R92" s="94" t="n"/>
      <c r="S92" s="94" t="n"/>
      <c r="T92" s="94" t="n"/>
      <c r="U92" s="94" t="n"/>
      <c r="V92" s="94" t="n"/>
      <c r="W92" s="94" t="n"/>
      <c r="X92" s="94" t="n"/>
      <c r="Y92" s="94" t="n"/>
      <c r="Z92" s="94" t="n"/>
      <c r="AA92" s="94" t="n"/>
      <c r="AB92" s="94" t="n"/>
      <c r="AC92" s="94" t="n"/>
      <c r="AD92" s="94" t="n"/>
      <c r="AE92" s="94" t="n"/>
      <c r="AF92" s="94" t="n"/>
      <c r="AG92" s="94" t="n"/>
      <c r="AH92" s="94" t="n"/>
      <c r="AI92" s="94" t="n"/>
      <c r="AJ92" s="94" t="n"/>
      <c r="AK92" s="94" t="n"/>
      <c r="AL92" s="94" t="n"/>
      <c r="AM92" s="94" t="n"/>
      <c r="AN92" s="94" t="n"/>
      <c r="AO92" s="94" t="n"/>
      <c r="AP92" s="94" t="n"/>
      <c r="AQ92" s="94" t="n"/>
      <c r="AR92" s="94" t="n"/>
      <c r="AS92" s="94" t="n"/>
      <c r="AT92" s="94" t="n"/>
      <c r="AU92" s="94" t="n"/>
      <c r="AV92" s="94" t="n"/>
      <c r="AW92" s="94" t="n"/>
      <c r="AX92" s="94" t="n"/>
      <c r="AY92" s="94" t="n"/>
      <c r="AZ92" s="94" t="n"/>
      <c r="BA92" s="94" t="n"/>
      <c r="BB92" s="94" t="n"/>
      <c r="BC92" s="94" t="n"/>
    </row>
    <row r="93" ht="15.75" customHeight="1" s="163">
      <c r="A93" s="92" t="n"/>
      <c r="B93" s="94" t="n"/>
      <c r="C93" s="94" t="n"/>
      <c r="D93" s="94" t="n"/>
      <c r="E93" s="94" t="n"/>
      <c r="F93" s="94" t="n"/>
      <c r="G93" s="94" t="n"/>
      <c r="H93" s="94" t="n"/>
      <c r="I93" s="94" t="n"/>
      <c r="J93" s="94" t="n"/>
      <c r="K93" s="207" t="n">
        <v>1673</v>
      </c>
      <c r="L93" s="207" t="n"/>
      <c r="M93" s="94" t="n"/>
      <c r="N93" s="94" t="n"/>
      <c r="O93" s="94" t="n"/>
      <c r="P93" s="94" t="n"/>
      <c r="Q93" s="94" t="n"/>
      <c r="R93" s="94" t="n"/>
      <c r="S93" s="204" t="n"/>
      <c r="T93" s="204" t="n"/>
      <c r="U93" s="204" t="n"/>
      <c r="V93" s="204" t="n"/>
      <c r="W93" s="204" t="n"/>
      <c r="X93" s="204" t="n"/>
      <c r="Y93" s="204" t="n"/>
      <c r="Z93" s="204" t="n"/>
      <c r="AA93" s="94" t="n"/>
      <c r="AB93" s="94" t="n"/>
      <c r="AC93" s="94" t="n"/>
      <c r="AD93" s="94" t="n"/>
      <c r="AE93" s="94" t="n"/>
      <c r="AF93" s="94" t="n"/>
      <c r="AG93" s="94" t="n"/>
      <c r="AH93" s="94" t="n"/>
      <c r="AI93" s="94" t="n"/>
      <c r="AJ93" s="94" t="n"/>
      <c r="AK93" s="94" t="n"/>
      <c r="AL93" s="94" t="n"/>
      <c r="AM93" s="94" t="n"/>
      <c r="AN93" s="94" t="n"/>
      <c r="AO93" s="94" t="n"/>
      <c r="AP93" s="94" t="n"/>
      <c r="AQ93" s="94" t="n"/>
      <c r="AR93" s="94" t="n"/>
      <c r="AS93" s="94" t="n"/>
      <c r="AT93" s="94" t="n"/>
      <c r="AU93" s="94" t="n"/>
      <c r="AV93" s="94" t="n"/>
      <c r="AW93" s="94" t="n"/>
      <c r="AX93" s="94" t="n"/>
      <c r="AY93" s="94" t="n"/>
      <c r="AZ93" s="94" t="n"/>
      <c r="BA93" s="94" t="n"/>
      <c r="BB93" s="94" t="n"/>
      <c r="BC93" s="94" t="n"/>
    </row>
    <row r="94" ht="15.75" customHeight="1" s="163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207" t="n">
        <v>1674</v>
      </c>
      <c r="L94" s="207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  <c r="AB94" s="94" t="n"/>
      <c r="AC94" s="94" t="n"/>
      <c r="AD94" s="94" t="n"/>
      <c r="AE94" s="94" t="n"/>
      <c r="AF94" s="94" t="n"/>
      <c r="AG94" s="94" t="n"/>
      <c r="AH94" s="94" t="n"/>
      <c r="AI94" s="94" t="n"/>
      <c r="AJ94" s="94" t="n"/>
      <c r="AK94" s="94" t="n"/>
      <c r="AL94" s="94" t="n"/>
      <c r="AM94" s="94" t="n"/>
      <c r="AN94" s="94" t="n"/>
      <c r="AO94" s="94" t="n"/>
      <c r="AP94" s="94" t="n"/>
      <c r="AQ94" s="94" t="n"/>
      <c r="AR94" s="94" t="n"/>
      <c r="AS94" s="94" t="n"/>
      <c r="AT94" s="94" t="n"/>
      <c r="AU94" s="94" t="n"/>
      <c r="AV94" s="94" t="n"/>
      <c r="AW94" s="94" t="n"/>
      <c r="AX94" s="94" t="n"/>
      <c r="AY94" s="94" t="n"/>
      <c r="AZ94" s="94" t="n"/>
      <c r="BA94" s="94" t="n"/>
      <c r="BB94" s="94" t="n"/>
      <c r="BC94" s="94" t="n"/>
    </row>
    <row r="95" ht="15.75" customHeight="1" s="163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207" t="n">
        <v>1675</v>
      </c>
      <c r="L95" s="207" t="n"/>
      <c r="M95" s="94" t="n"/>
      <c r="N95" s="94" t="n"/>
      <c r="O95" s="94" t="n"/>
      <c r="P95" s="94" t="n"/>
      <c r="Q95" s="94" t="n"/>
      <c r="R95" s="94" t="n"/>
      <c r="S95" s="204" t="n"/>
      <c r="T95" s="204" t="n"/>
      <c r="U95" s="204" t="n"/>
      <c r="V95" s="204" t="n"/>
      <c r="W95" s="204" t="n"/>
      <c r="X95" s="204" t="n"/>
      <c r="Y95" s="204" t="n"/>
      <c r="Z95" s="204" t="n"/>
      <c r="AA95" s="94" t="n"/>
      <c r="AB95" s="94" t="n"/>
      <c r="AC95" s="94" t="n"/>
      <c r="AD95" s="94" t="n"/>
      <c r="AE95" s="94" t="n"/>
      <c r="AF95" s="94" t="n"/>
      <c r="AG95" s="94" t="n"/>
      <c r="AH95" s="94" t="n"/>
      <c r="AI95" s="94" t="n"/>
      <c r="AJ95" s="94" t="n"/>
      <c r="AK95" s="94" t="n"/>
      <c r="AL95" s="94" t="n"/>
      <c r="AM95" s="94" t="n"/>
      <c r="AN95" s="94" t="n"/>
      <c r="AO95" s="94" t="n"/>
      <c r="AP95" s="94" t="n"/>
      <c r="AQ95" s="94" t="n"/>
      <c r="AR95" s="94" t="n"/>
      <c r="AS95" s="94" t="n"/>
      <c r="AT95" s="94" t="n"/>
      <c r="AU95" s="94" t="n"/>
      <c r="AV95" s="94" t="n"/>
      <c r="AW95" s="94" t="n"/>
      <c r="AX95" s="94" t="n"/>
      <c r="AY95" s="94" t="n"/>
      <c r="AZ95" s="94" t="n"/>
      <c r="BA95" s="94" t="n"/>
      <c r="BB95" s="94" t="n"/>
      <c r="BC95" s="94" t="n"/>
    </row>
    <row r="96" ht="15.75" customHeight="1" s="163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207" t="n">
        <v>1676</v>
      </c>
      <c r="L96" s="207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  <c r="AB96" s="94" t="n"/>
      <c r="AC96" s="94" t="n"/>
      <c r="AD96" s="94" t="n"/>
      <c r="AE96" s="94" t="n"/>
      <c r="AF96" s="94" t="n"/>
      <c r="AG96" s="94" t="n"/>
      <c r="AH96" s="94" t="n"/>
      <c r="AI96" s="94" t="n"/>
      <c r="AJ96" s="94" t="n"/>
      <c r="AK96" s="94" t="n"/>
      <c r="AL96" s="94" t="n"/>
      <c r="AM96" s="94" t="n"/>
      <c r="AN96" s="94" t="n"/>
      <c r="AO96" s="94" t="n"/>
      <c r="AP96" s="94" t="n"/>
      <c r="AQ96" s="94" t="n"/>
      <c r="AR96" s="94" t="n"/>
      <c r="AS96" s="94" t="n"/>
      <c r="AT96" s="94" t="n"/>
      <c r="AU96" s="94" t="n"/>
      <c r="AV96" s="94" t="n"/>
      <c r="AW96" s="94" t="n"/>
      <c r="AX96" s="94" t="n"/>
      <c r="AY96" s="94" t="n"/>
      <c r="AZ96" s="94" t="n"/>
      <c r="BA96" s="94" t="n"/>
      <c r="BB96" s="94" t="n"/>
      <c r="BC96" s="94" t="n"/>
    </row>
    <row r="97" ht="15.75" customHeight="1" s="163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207" t="n">
        <v>1677</v>
      </c>
      <c r="L97" s="207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  <c r="AB97" s="94" t="n"/>
      <c r="AC97" s="94" t="n"/>
      <c r="AD97" s="94" t="n"/>
      <c r="AE97" s="94" t="n"/>
      <c r="AF97" s="94" t="n"/>
      <c r="AG97" s="94" t="n"/>
      <c r="AH97" s="94" t="n"/>
      <c r="AI97" s="94" t="n"/>
      <c r="AJ97" s="94" t="n"/>
      <c r="AK97" s="94" t="n"/>
      <c r="AL97" s="94" t="n"/>
      <c r="AM97" s="94" t="n"/>
      <c r="AN97" s="94" t="n"/>
      <c r="AO97" s="94" t="n"/>
      <c r="AP97" s="94" t="n"/>
      <c r="AQ97" s="94" t="n"/>
      <c r="AR97" s="94" t="n"/>
      <c r="AS97" s="94" t="n"/>
      <c r="AT97" s="94" t="n"/>
      <c r="AU97" s="94" t="n"/>
      <c r="AV97" s="94" t="n"/>
      <c r="AW97" s="94" t="n"/>
      <c r="AX97" s="94" t="n"/>
      <c r="AY97" s="94" t="n"/>
      <c r="AZ97" s="94" t="n"/>
      <c r="BA97" s="94" t="n"/>
      <c r="BB97" s="94" t="n"/>
      <c r="BC97" s="94" t="n"/>
    </row>
    <row r="98" ht="15.75" customHeight="1" s="163">
      <c r="A98" s="94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207" t="n">
        <v>1678</v>
      </c>
      <c r="L98" s="207" t="n"/>
      <c r="M98" s="94" t="n"/>
      <c r="N98" s="94" t="n"/>
      <c r="O98" s="94" t="n"/>
      <c r="P98" s="94" t="n"/>
      <c r="Q98" s="94" t="n"/>
      <c r="R98" s="94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  <c r="AB98" s="94" t="n"/>
      <c r="AC98" s="94" t="n"/>
      <c r="AD98" s="94" t="n"/>
      <c r="AE98" s="94" t="n"/>
      <c r="AF98" s="94" t="n"/>
      <c r="AG98" s="94" t="n"/>
      <c r="AH98" s="94" t="n"/>
      <c r="AI98" s="94" t="n"/>
      <c r="AJ98" s="94" t="n"/>
      <c r="AK98" s="94" t="n"/>
      <c r="AL98" s="94" t="n"/>
      <c r="AM98" s="94" t="n"/>
      <c r="AN98" s="94" t="n"/>
      <c r="AO98" s="94" t="n"/>
      <c r="AP98" s="94" t="n"/>
      <c r="AQ98" s="94" t="n"/>
      <c r="AR98" s="94" t="n"/>
      <c r="AS98" s="94" t="n"/>
      <c r="AT98" s="94" t="n"/>
      <c r="AU98" s="94" t="n"/>
      <c r="AV98" s="94" t="n"/>
      <c r="AW98" s="94" t="n"/>
      <c r="AX98" s="94" t="n"/>
      <c r="AY98" s="94" t="n"/>
      <c r="AZ98" s="94" t="n"/>
      <c r="BA98" s="94" t="n"/>
      <c r="BB98" s="94" t="n"/>
      <c r="BC98" s="94" t="n"/>
    </row>
    <row r="99" ht="15.75" customHeight="1" s="163">
      <c r="A99" s="94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207" t="n">
        <v>1679</v>
      </c>
      <c r="L99" s="207" t="n"/>
      <c r="M99" s="94" t="n"/>
      <c r="N99" s="94" t="n"/>
      <c r="O99" s="94" t="n"/>
      <c r="P99" s="94" t="n"/>
      <c r="Q99" s="94" t="n"/>
      <c r="R99" s="94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4" t="n"/>
      <c r="AB99" s="94" t="n"/>
      <c r="AC99" s="94" t="n"/>
      <c r="AD99" s="94" t="n"/>
      <c r="AE99" s="94" t="n"/>
      <c r="AF99" s="94" t="n"/>
      <c r="AG99" s="94" t="n"/>
      <c r="AH99" s="94" t="n"/>
      <c r="AI99" s="94" t="n"/>
      <c r="AJ99" s="94" t="n"/>
      <c r="AK99" s="94" t="n"/>
      <c r="AL99" s="94" t="n"/>
      <c r="AM99" s="94" t="n"/>
      <c r="AN99" s="94" t="n"/>
      <c r="AO99" s="94" t="n"/>
      <c r="AP99" s="94" t="n"/>
      <c r="AQ99" s="94" t="n"/>
      <c r="AR99" s="94" t="n"/>
      <c r="AS99" s="94" t="n"/>
      <c r="AT99" s="94" t="n"/>
      <c r="AU99" s="94" t="n"/>
      <c r="AV99" s="94" t="n"/>
      <c r="AW99" s="94" t="n"/>
      <c r="AX99" s="94" t="n"/>
      <c r="AY99" s="94" t="n"/>
      <c r="AZ99" s="94" t="n"/>
      <c r="BA99" s="94" t="n"/>
      <c r="BB99" s="94" t="n"/>
      <c r="BC99" s="94" t="n"/>
    </row>
    <row r="100" ht="15.75" customHeight="1" s="163">
      <c r="A100" s="92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207" t="n">
        <v>1680</v>
      </c>
      <c r="L100" s="207" t="n"/>
      <c r="M100" s="94" t="n"/>
      <c r="N100" s="94" t="n"/>
      <c r="O100" s="94" t="n"/>
      <c r="P100" s="94" t="n"/>
      <c r="Q100" s="94" t="n"/>
      <c r="R100" s="94" t="n"/>
      <c r="S100" s="204" t="n"/>
      <c r="T100" s="204" t="n"/>
      <c r="U100" s="204" t="n"/>
      <c r="V100" s="204" t="n"/>
      <c r="W100" s="204" t="n"/>
      <c r="X100" s="204" t="n"/>
      <c r="Y100" s="204" t="n"/>
      <c r="Z100" s="204" t="n"/>
      <c r="AA100" s="94" t="n"/>
      <c r="AB100" s="94" t="n"/>
      <c r="AC100" s="94" t="n"/>
      <c r="AD100" s="94" t="n"/>
      <c r="AE100" s="94" t="n"/>
      <c r="AF100" s="94" t="n"/>
      <c r="AG100" s="94" t="n"/>
      <c r="AH100" s="94" t="n"/>
      <c r="AI100" s="94" t="n"/>
      <c r="AJ100" s="94" t="n"/>
      <c r="AK100" s="94" t="n"/>
      <c r="AL100" s="94" t="n"/>
      <c r="AM100" s="94" t="n"/>
      <c r="AN100" s="94" t="n"/>
      <c r="AO100" s="94" t="n"/>
      <c r="AP100" s="94" t="n"/>
      <c r="AQ100" s="94" t="n"/>
      <c r="AR100" s="94" t="n"/>
      <c r="AS100" s="94" t="n"/>
      <c r="AT100" s="94" t="n"/>
      <c r="AU100" s="94" t="n"/>
      <c r="AV100" s="94" t="n"/>
      <c r="AW100" s="94" t="n"/>
      <c r="AX100" s="94" t="n"/>
      <c r="AY100" s="94" t="n"/>
      <c r="AZ100" s="94" t="n"/>
      <c r="BA100" s="94" t="n"/>
      <c r="BB100" s="94" t="n"/>
      <c r="BC100" s="94" t="n"/>
    </row>
    <row r="101" ht="15.75" customHeight="1" s="163">
      <c r="A101" s="92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207" t="n">
        <v>1681</v>
      </c>
      <c r="L101" s="207" t="n"/>
      <c r="M101" s="94" t="n"/>
      <c r="N101" s="94" t="n"/>
      <c r="O101" s="94" t="n"/>
      <c r="P101" s="94" t="n"/>
      <c r="Q101" s="94" t="n"/>
      <c r="R101" s="94" t="n"/>
      <c r="S101" s="94" t="n"/>
      <c r="T101" s="94" t="n"/>
      <c r="U101" s="94" t="n"/>
      <c r="V101" s="94" t="n"/>
      <c r="W101" s="94" t="n"/>
      <c r="X101" s="94" t="n"/>
      <c r="Y101" s="94" t="n"/>
      <c r="Z101" s="94" t="n"/>
      <c r="AA101" s="94" t="n"/>
      <c r="AB101" s="94" t="n"/>
      <c r="AC101" s="94" t="n"/>
      <c r="AD101" s="94" t="n"/>
      <c r="AE101" s="94" t="n"/>
      <c r="AF101" s="94" t="n"/>
      <c r="AG101" s="94" t="n"/>
      <c r="AH101" s="94" t="n"/>
      <c r="AI101" s="94" t="n"/>
      <c r="AJ101" s="94" t="n"/>
      <c r="AK101" s="94" t="n"/>
      <c r="AL101" s="94" t="n"/>
      <c r="AM101" s="94" t="n"/>
      <c r="AN101" s="94" t="n"/>
      <c r="AO101" s="94" t="n"/>
      <c r="AP101" s="94" t="n"/>
      <c r="AQ101" s="94" t="n"/>
      <c r="AR101" s="94" t="n"/>
      <c r="AS101" s="94" t="n"/>
      <c r="AT101" s="94" t="n"/>
      <c r="AU101" s="94" t="n"/>
      <c r="AV101" s="94" t="n"/>
      <c r="AW101" s="94" t="n"/>
      <c r="AX101" s="94" t="n"/>
      <c r="AY101" s="94" t="n"/>
      <c r="AZ101" s="94" t="n"/>
      <c r="BA101" s="94" t="n"/>
      <c r="BB101" s="94" t="n"/>
      <c r="BC101" s="94" t="n"/>
    </row>
    <row r="102" ht="15.75" customHeight="1" s="163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207" t="n">
        <v>1682</v>
      </c>
      <c r="L102" s="207" t="n"/>
      <c r="M102" s="94" t="n"/>
      <c r="N102" s="94" t="n"/>
      <c r="O102" s="94" t="n"/>
      <c r="P102" s="94" t="n"/>
      <c r="Q102" s="94" t="n"/>
      <c r="R102" s="94" t="n"/>
      <c r="S102" s="204" t="n"/>
      <c r="T102" s="204" t="n"/>
      <c r="U102" s="204" t="n"/>
      <c r="V102" s="204" t="n"/>
      <c r="W102" s="204" t="n"/>
      <c r="X102" s="204" t="n"/>
      <c r="Y102" s="204" t="n"/>
      <c r="Z102" s="204" t="n"/>
      <c r="AA102" s="94" t="n"/>
      <c r="AB102" s="94" t="n"/>
      <c r="AC102" s="94" t="n"/>
      <c r="AD102" s="94" t="n"/>
      <c r="AE102" s="94" t="n"/>
      <c r="AF102" s="94" t="n"/>
      <c r="AG102" s="94" t="n"/>
      <c r="AH102" s="94" t="n"/>
      <c r="AI102" s="94" t="n"/>
      <c r="AJ102" s="94" t="n"/>
      <c r="AK102" s="94" t="n"/>
      <c r="AL102" s="94" t="n"/>
      <c r="AM102" s="94" t="n"/>
      <c r="AN102" s="94" t="n"/>
      <c r="AO102" s="94" t="n"/>
      <c r="AP102" s="94" t="n"/>
      <c r="AQ102" s="94" t="n"/>
      <c r="AR102" s="94" t="n"/>
      <c r="AS102" s="94" t="n"/>
      <c r="AT102" s="94" t="n"/>
      <c r="AU102" s="94" t="n"/>
      <c r="AV102" s="94" t="n"/>
      <c r="AW102" s="94" t="n"/>
      <c r="AX102" s="94" t="n"/>
      <c r="AY102" s="94" t="n"/>
      <c r="AZ102" s="94" t="n"/>
      <c r="BA102" s="94" t="n"/>
      <c r="BB102" s="94" t="n"/>
      <c r="BC102" s="94" t="n"/>
    </row>
    <row r="103" ht="15.75" customHeight="1" s="163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207" t="n">
        <v>1683</v>
      </c>
      <c r="L103" s="207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4" t="n"/>
      <c r="AB103" s="94" t="n"/>
      <c r="AC103" s="94" t="n"/>
      <c r="AD103" s="94" t="n"/>
      <c r="AE103" s="94" t="n"/>
      <c r="AF103" s="94" t="n"/>
      <c r="AG103" s="94" t="n"/>
      <c r="AH103" s="94" t="n"/>
      <c r="AI103" s="94" t="n"/>
      <c r="AJ103" s="94" t="n"/>
      <c r="AK103" s="94" t="n"/>
      <c r="AL103" s="94" t="n"/>
      <c r="AM103" s="94" t="n"/>
      <c r="AN103" s="94" t="n"/>
      <c r="AO103" s="94" t="n"/>
      <c r="AP103" s="94" t="n"/>
      <c r="AQ103" s="94" t="n"/>
      <c r="AR103" s="94" t="n"/>
      <c r="AS103" s="94" t="n"/>
      <c r="AT103" s="94" t="n"/>
      <c r="AU103" s="94" t="n"/>
      <c r="AV103" s="94" t="n"/>
      <c r="AW103" s="94" t="n"/>
      <c r="AX103" s="94" t="n"/>
      <c r="AY103" s="94" t="n"/>
      <c r="AZ103" s="94" t="n"/>
      <c r="BA103" s="94" t="n"/>
      <c r="BB103" s="94" t="n"/>
      <c r="BC103" s="94" t="n"/>
    </row>
    <row r="104" ht="15.75" customHeight="1" s="163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207" t="n">
        <v>1684</v>
      </c>
      <c r="L104" s="207" t="n"/>
      <c r="M104" s="94" t="n"/>
      <c r="N104" s="94" t="n"/>
      <c r="O104" s="94" t="n"/>
      <c r="P104" s="94" t="n"/>
      <c r="Q104" s="94" t="n"/>
      <c r="R104" s="94" t="n"/>
      <c r="S104" s="94" t="n"/>
      <c r="T104" s="94" t="n"/>
      <c r="U104" s="94" t="n"/>
      <c r="V104" s="94" t="n"/>
      <c r="W104" s="94" t="n"/>
      <c r="X104" s="94" t="n"/>
      <c r="Y104" s="94" t="n"/>
      <c r="Z104" s="94" t="n"/>
      <c r="AA104" s="94" t="n"/>
      <c r="AB104" s="94" t="n"/>
      <c r="AC104" s="94" t="n"/>
      <c r="AD104" s="94" t="n"/>
      <c r="AE104" s="94" t="n"/>
      <c r="AF104" s="94" t="n"/>
      <c r="AG104" s="94" t="n"/>
      <c r="AH104" s="94" t="n"/>
      <c r="AI104" s="94" t="n"/>
      <c r="AJ104" s="94" t="n"/>
      <c r="AK104" s="94" t="n"/>
      <c r="AL104" s="94" t="n"/>
      <c r="AM104" s="94" t="n"/>
      <c r="AN104" s="94" t="n"/>
      <c r="AO104" s="94" t="n"/>
      <c r="AP104" s="94" t="n"/>
      <c r="AQ104" s="94" t="n"/>
      <c r="AR104" s="94" t="n"/>
      <c r="AS104" s="94" t="n"/>
      <c r="AT104" s="94" t="n"/>
      <c r="AU104" s="94" t="n"/>
      <c r="AV104" s="94" t="n"/>
      <c r="AW104" s="94" t="n"/>
      <c r="AX104" s="94" t="n"/>
      <c r="AY104" s="94" t="n"/>
      <c r="AZ104" s="94" t="n"/>
      <c r="BA104" s="94" t="n"/>
      <c r="BB104" s="94" t="n"/>
      <c r="BC104" s="94" t="n"/>
    </row>
    <row r="105" ht="15.75" customHeight="1" s="163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207" t="n">
        <v>1685</v>
      </c>
      <c r="L105" s="207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4" t="n"/>
      <c r="AB105" s="94" t="n"/>
      <c r="AC105" s="94" t="n"/>
      <c r="AD105" s="94" t="n"/>
      <c r="AE105" s="94" t="n"/>
      <c r="AF105" s="94" t="n"/>
      <c r="AG105" s="94" t="n"/>
      <c r="AH105" s="94" t="n"/>
      <c r="AI105" s="94" t="n"/>
      <c r="AJ105" s="94" t="n"/>
      <c r="AK105" s="94" t="n"/>
      <c r="AL105" s="94" t="n"/>
      <c r="AM105" s="94" t="n"/>
      <c r="AN105" s="94" t="n"/>
      <c r="AO105" s="94" t="n"/>
      <c r="AP105" s="94" t="n"/>
      <c r="AQ105" s="94" t="n"/>
      <c r="AR105" s="94" t="n"/>
      <c r="AS105" s="94" t="n"/>
      <c r="AT105" s="94" t="n"/>
      <c r="AU105" s="94" t="n"/>
      <c r="AV105" s="94" t="n"/>
      <c r="AW105" s="94" t="n"/>
      <c r="AX105" s="94" t="n"/>
      <c r="AY105" s="94" t="n"/>
      <c r="AZ105" s="94" t="n"/>
      <c r="BA105" s="94" t="n"/>
      <c r="BB105" s="94" t="n"/>
      <c r="BC105" s="94" t="n"/>
    </row>
    <row r="106" ht="15.75" customHeight="1" s="163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207" t="n">
        <v>1686</v>
      </c>
      <c r="L106" s="207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4" t="n"/>
      <c r="AB106" s="94" t="n"/>
      <c r="AC106" s="94" t="n"/>
      <c r="AD106" s="94" t="n"/>
      <c r="AE106" s="94" t="n"/>
      <c r="AF106" s="94" t="n"/>
      <c r="AG106" s="94" t="n"/>
      <c r="AH106" s="94" t="n"/>
      <c r="AI106" s="94" t="n"/>
      <c r="AJ106" s="94" t="n"/>
      <c r="AK106" s="94" t="n"/>
      <c r="AL106" s="94" t="n"/>
      <c r="AM106" s="94" t="n"/>
      <c r="AN106" s="94" t="n"/>
      <c r="AO106" s="94" t="n"/>
      <c r="AP106" s="94" t="n"/>
      <c r="AQ106" s="94" t="n"/>
      <c r="AR106" s="94" t="n"/>
      <c r="AS106" s="94" t="n"/>
      <c r="AT106" s="94" t="n"/>
      <c r="AU106" s="94" t="n"/>
      <c r="AV106" s="94" t="n"/>
      <c r="AW106" s="94" t="n"/>
      <c r="AX106" s="94" t="n"/>
      <c r="AY106" s="94" t="n"/>
      <c r="AZ106" s="94" t="n"/>
      <c r="BA106" s="94" t="n"/>
      <c r="BB106" s="94" t="n"/>
      <c r="BC106" s="94" t="n"/>
    </row>
    <row r="107" ht="15.75" customHeight="1" s="163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207" t="n">
        <v>1687</v>
      </c>
      <c r="L107" s="207" t="n"/>
      <c r="M107" s="94" t="n"/>
      <c r="N107" s="94" t="n"/>
      <c r="O107" s="94" t="n"/>
      <c r="P107" s="94" t="n"/>
      <c r="Q107" s="94" t="n"/>
      <c r="R107" s="94" t="n"/>
      <c r="S107" s="204" t="n"/>
      <c r="T107" s="204" t="n"/>
      <c r="U107" s="204" t="n"/>
      <c r="V107" s="204" t="n"/>
      <c r="W107" s="204" t="n"/>
      <c r="X107" s="204" t="n"/>
      <c r="Y107" s="204" t="n"/>
      <c r="Z107" s="204" t="n"/>
      <c r="AA107" s="94" t="n"/>
      <c r="AB107" s="94" t="n"/>
      <c r="AC107" s="94" t="n"/>
      <c r="AD107" s="94" t="n"/>
      <c r="AE107" s="94" t="n"/>
      <c r="AF107" s="94" t="n"/>
      <c r="AG107" s="94" t="n"/>
      <c r="AH107" s="94" t="n"/>
      <c r="AI107" s="94" t="n"/>
      <c r="AJ107" s="94" t="n"/>
      <c r="AK107" s="94" t="n"/>
      <c r="AL107" s="94" t="n"/>
      <c r="AM107" s="94" t="n"/>
      <c r="AN107" s="94" t="n"/>
      <c r="AO107" s="94" t="n"/>
      <c r="AP107" s="94" t="n"/>
      <c r="AQ107" s="94" t="n"/>
      <c r="AR107" s="94" t="n"/>
      <c r="AS107" s="94" t="n"/>
      <c r="AT107" s="94" t="n"/>
      <c r="AU107" s="94" t="n"/>
      <c r="AV107" s="94" t="n"/>
      <c r="AW107" s="94" t="n"/>
      <c r="AX107" s="94" t="n"/>
      <c r="AY107" s="94" t="n"/>
      <c r="AZ107" s="94" t="n"/>
      <c r="BA107" s="94" t="n"/>
      <c r="BB107" s="94" t="n"/>
      <c r="BC107" s="94" t="n"/>
    </row>
    <row r="108" ht="15.75" customHeight="1" s="163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207" t="n">
        <v>1688</v>
      </c>
      <c r="L108" s="207" t="n"/>
      <c r="M108" s="94" t="n"/>
      <c r="N108" s="94" t="n"/>
      <c r="O108" s="94" t="n"/>
      <c r="P108" s="94" t="n"/>
      <c r="Q108" s="94" t="n"/>
      <c r="R108" s="94" t="n"/>
      <c r="S108" s="94" t="n"/>
      <c r="T108" s="94" t="n"/>
      <c r="U108" s="94" t="n"/>
      <c r="V108" s="94" t="n"/>
      <c r="W108" s="94" t="n"/>
      <c r="X108" s="94" t="n"/>
      <c r="Y108" s="94" t="n"/>
      <c r="Z108" s="94" t="n"/>
      <c r="AA108" s="94" t="n"/>
      <c r="AB108" s="94" t="n"/>
      <c r="AC108" s="94" t="n"/>
      <c r="AD108" s="94" t="n"/>
      <c r="AE108" s="94" t="n"/>
      <c r="AF108" s="94" t="n"/>
      <c r="AG108" s="94" t="n"/>
      <c r="AH108" s="94" t="n"/>
      <c r="AI108" s="94" t="n"/>
      <c r="AJ108" s="94" t="n"/>
      <c r="AK108" s="94" t="n"/>
      <c r="AL108" s="94" t="n"/>
      <c r="AM108" s="94" t="n"/>
      <c r="AN108" s="94" t="n"/>
      <c r="AO108" s="94" t="n"/>
      <c r="AP108" s="94" t="n"/>
      <c r="AQ108" s="94" t="n"/>
      <c r="AR108" s="94" t="n"/>
      <c r="AS108" s="94" t="n"/>
      <c r="AT108" s="94" t="n"/>
      <c r="AU108" s="94" t="n"/>
      <c r="AV108" s="94" t="n"/>
      <c r="AW108" s="94" t="n"/>
      <c r="AX108" s="94" t="n"/>
      <c r="AY108" s="94" t="n"/>
      <c r="AZ108" s="94" t="n"/>
      <c r="BA108" s="94" t="n"/>
      <c r="BB108" s="94" t="n"/>
      <c r="BC108" s="94" t="n"/>
    </row>
    <row r="109" ht="15.75" customHeight="1" s="163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207" t="n">
        <v>1689</v>
      </c>
      <c r="L109" s="207" t="n"/>
      <c r="M109" s="94" t="n"/>
      <c r="N109" s="94" t="n"/>
      <c r="O109" s="94" t="n"/>
      <c r="P109" s="94" t="n"/>
      <c r="Q109" s="94" t="n"/>
      <c r="R109" s="94" t="n"/>
      <c r="S109" s="94" t="n"/>
      <c r="T109" s="94" t="n"/>
      <c r="U109" s="94" t="n"/>
      <c r="V109" s="94" t="n"/>
      <c r="W109" s="94" t="n"/>
      <c r="X109" s="94" t="n"/>
      <c r="Y109" s="94" t="n"/>
      <c r="Z109" s="94" t="n"/>
      <c r="AA109" s="94" t="n"/>
      <c r="AB109" s="94" t="n"/>
      <c r="AC109" s="94" t="n"/>
      <c r="AD109" s="94" t="n"/>
      <c r="AE109" s="94" t="n"/>
      <c r="AF109" s="94" t="n"/>
      <c r="AG109" s="94" t="n"/>
      <c r="AH109" s="94" t="n"/>
      <c r="AI109" s="94" t="n"/>
      <c r="AJ109" s="94" t="n"/>
      <c r="AK109" s="94" t="n"/>
      <c r="AL109" s="94" t="n"/>
      <c r="AM109" s="94" t="n"/>
      <c r="AN109" s="94" t="n"/>
      <c r="AO109" s="94" t="n"/>
      <c r="AP109" s="94" t="n"/>
      <c r="AQ109" s="94" t="n"/>
      <c r="AR109" s="94" t="n"/>
      <c r="AS109" s="94" t="n"/>
      <c r="AT109" s="94" t="n"/>
      <c r="AU109" s="94" t="n"/>
      <c r="AV109" s="94" t="n"/>
      <c r="AW109" s="94" t="n"/>
      <c r="AX109" s="94" t="n"/>
      <c r="AY109" s="94" t="n"/>
      <c r="AZ109" s="94" t="n"/>
      <c r="BA109" s="94" t="n"/>
      <c r="BB109" s="94" t="n"/>
      <c r="BC109" s="94" t="n"/>
    </row>
    <row r="110" ht="15.75" customHeight="1" s="163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207" t="n">
        <v>1690</v>
      </c>
      <c r="L110" s="207" t="n"/>
      <c r="M110" s="94" t="n"/>
      <c r="N110" s="94" t="n"/>
      <c r="O110" s="94" t="n"/>
      <c r="P110" s="94" t="n"/>
      <c r="Q110" s="94" t="n"/>
      <c r="R110" s="94" t="n"/>
      <c r="S110" s="94" t="n"/>
      <c r="T110" s="94" t="n"/>
      <c r="U110" s="94" t="n"/>
      <c r="V110" s="94" t="n"/>
      <c r="W110" s="94" t="n"/>
      <c r="X110" s="94" t="n"/>
      <c r="Y110" s="94" t="n"/>
      <c r="Z110" s="94" t="n"/>
      <c r="AA110" s="94" t="n"/>
      <c r="AB110" s="94" t="n"/>
      <c r="AC110" s="94" t="n"/>
      <c r="AD110" s="94" t="n"/>
      <c r="AE110" s="94" t="n"/>
      <c r="AF110" s="94" t="n"/>
      <c r="AG110" s="94" t="n"/>
      <c r="AH110" s="94" t="n"/>
      <c r="AI110" s="94" t="n"/>
      <c r="AJ110" s="94" t="n"/>
      <c r="AK110" s="94" t="n"/>
      <c r="AL110" s="94" t="n"/>
      <c r="AM110" s="94" t="n"/>
      <c r="AN110" s="94" t="n"/>
      <c r="AO110" s="94" t="n"/>
      <c r="AP110" s="94" t="n"/>
      <c r="AQ110" s="94" t="n"/>
      <c r="AR110" s="94" t="n"/>
      <c r="AS110" s="94" t="n"/>
      <c r="AT110" s="94" t="n"/>
      <c r="AU110" s="94" t="n"/>
      <c r="AV110" s="94" t="n"/>
      <c r="AW110" s="94" t="n"/>
      <c r="AX110" s="94" t="n"/>
      <c r="AY110" s="94" t="n"/>
      <c r="AZ110" s="94" t="n"/>
      <c r="BA110" s="94" t="n"/>
      <c r="BB110" s="94" t="n"/>
      <c r="BC110" s="94" t="n"/>
    </row>
    <row r="111" ht="15.75" customHeight="1" s="163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207" t="n">
        <v>1691</v>
      </c>
      <c r="L111" s="207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4" t="n"/>
      <c r="AB111" s="94" t="n"/>
      <c r="AC111" s="94" t="n"/>
      <c r="AD111" s="94" t="n"/>
      <c r="AE111" s="94" t="n"/>
      <c r="AF111" s="94" t="n"/>
      <c r="AG111" s="94" t="n"/>
      <c r="AH111" s="94" t="n"/>
      <c r="AI111" s="94" t="n"/>
      <c r="AJ111" s="94" t="n"/>
      <c r="AK111" s="94" t="n"/>
      <c r="AL111" s="94" t="n"/>
      <c r="AM111" s="94" t="n"/>
      <c r="AN111" s="94" t="n"/>
      <c r="AO111" s="94" t="n"/>
      <c r="AP111" s="94" t="n"/>
      <c r="AQ111" s="94" t="n"/>
      <c r="AR111" s="94" t="n"/>
      <c r="AS111" s="94" t="n"/>
      <c r="AT111" s="94" t="n"/>
      <c r="AU111" s="94" t="n"/>
      <c r="AV111" s="94" t="n"/>
      <c r="AW111" s="94" t="n"/>
      <c r="AX111" s="94" t="n"/>
      <c r="AY111" s="94" t="n"/>
      <c r="AZ111" s="94" t="n"/>
      <c r="BA111" s="94" t="n"/>
      <c r="BB111" s="94" t="n"/>
      <c r="BC111" s="94" t="n"/>
    </row>
    <row r="112" ht="15.75" customHeight="1" s="163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207" t="n">
        <v>1692</v>
      </c>
      <c r="L112" s="207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4" t="n"/>
      <c r="AB112" s="94" t="n"/>
      <c r="AC112" s="94" t="n"/>
      <c r="AD112" s="94" t="n"/>
      <c r="AE112" s="94" t="n"/>
      <c r="AF112" s="94" t="n"/>
      <c r="AG112" s="94" t="n"/>
      <c r="AH112" s="94" t="n"/>
      <c r="AI112" s="94" t="n"/>
      <c r="AJ112" s="94" t="n"/>
      <c r="AK112" s="94" t="n"/>
      <c r="AL112" s="94" t="n"/>
      <c r="AM112" s="94" t="n"/>
      <c r="AN112" s="94" t="n"/>
      <c r="AO112" s="94" t="n"/>
      <c r="AP112" s="94" t="n"/>
      <c r="AQ112" s="94" t="n"/>
      <c r="AR112" s="94" t="n"/>
      <c r="AS112" s="94" t="n"/>
      <c r="AT112" s="94" t="n"/>
      <c r="AU112" s="94" t="n"/>
      <c r="AV112" s="94" t="n"/>
      <c r="AW112" s="94" t="n"/>
      <c r="AX112" s="94" t="n"/>
      <c r="AY112" s="94" t="n"/>
      <c r="AZ112" s="94" t="n"/>
      <c r="BA112" s="94" t="n"/>
      <c r="BB112" s="94" t="n"/>
      <c r="BC112" s="94" t="n"/>
    </row>
    <row r="113" ht="15.75" customHeight="1" s="163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207" t="n">
        <v>1693</v>
      </c>
      <c r="L113" s="207" t="n"/>
      <c r="M113" s="94" t="n"/>
      <c r="N113" s="94" t="n"/>
      <c r="O113" s="94" t="n"/>
      <c r="P113" s="94" t="n"/>
      <c r="Q113" s="94" t="n"/>
      <c r="R113" s="94" t="n"/>
      <c r="S113" s="94" t="n"/>
      <c r="T113" s="94" t="n"/>
      <c r="U113" s="94" t="n"/>
      <c r="V113" s="94" t="n"/>
      <c r="W113" s="94" t="n"/>
      <c r="X113" s="94" t="n"/>
      <c r="Y113" s="94" t="n"/>
      <c r="Z113" s="94" t="n"/>
      <c r="AA113" s="94" t="n"/>
      <c r="AB113" s="94" t="n"/>
      <c r="AC113" s="94" t="n"/>
      <c r="AD113" s="94" t="n"/>
      <c r="AE113" s="94" t="n"/>
      <c r="AF113" s="94" t="n"/>
      <c r="AG113" s="94" t="n"/>
      <c r="AH113" s="94" t="n"/>
      <c r="AI113" s="94" t="n"/>
      <c r="AJ113" s="94" t="n"/>
      <c r="AK113" s="94" t="n"/>
      <c r="AL113" s="94" t="n"/>
      <c r="AM113" s="94" t="n"/>
      <c r="AN113" s="94" t="n"/>
      <c r="AO113" s="94" t="n"/>
      <c r="AP113" s="94" t="n"/>
      <c r="AQ113" s="94" t="n"/>
      <c r="AR113" s="94" t="n"/>
      <c r="AS113" s="94" t="n"/>
      <c r="AT113" s="94" t="n"/>
      <c r="AU113" s="94" t="n"/>
      <c r="AV113" s="94" t="n"/>
      <c r="AW113" s="94" t="n"/>
      <c r="AX113" s="94" t="n"/>
      <c r="AY113" s="94" t="n"/>
      <c r="AZ113" s="94" t="n"/>
      <c r="BA113" s="94" t="n"/>
      <c r="BB113" s="94" t="n"/>
      <c r="BC113" s="94" t="n"/>
    </row>
    <row r="114" ht="15.75" customHeight="1" s="163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207" t="n">
        <v>1694</v>
      </c>
      <c r="L114" s="207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4" t="n"/>
      <c r="AB114" s="94" t="n"/>
      <c r="AC114" s="94" t="n"/>
      <c r="AD114" s="94" t="n"/>
      <c r="AE114" s="94" t="n"/>
      <c r="AF114" s="94" t="n"/>
      <c r="AG114" s="94" t="n"/>
      <c r="AH114" s="94" t="n"/>
      <c r="AI114" s="94" t="n"/>
      <c r="AJ114" s="94" t="n"/>
      <c r="AK114" s="94" t="n"/>
      <c r="AL114" s="94" t="n"/>
      <c r="AM114" s="94" t="n"/>
      <c r="AN114" s="94" t="n"/>
      <c r="AO114" s="94" t="n"/>
      <c r="AP114" s="94" t="n"/>
      <c r="AQ114" s="94" t="n"/>
      <c r="AR114" s="94" t="n"/>
      <c r="AS114" s="94" t="n"/>
      <c r="AT114" s="94" t="n"/>
      <c r="AU114" s="94" t="n"/>
      <c r="AV114" s="94" t="n"/>
      <c r="AW114" s="94" t="n"/>
      <c r="AX114" s="94" t="n"/>
      <c r="AY114" s="94" t="n"/>
      <c r="AZ114" s="94" t="n"/>
      <c r="BA114" s="94" t="n"/>
      <c r="BB114" s="94" t="n"/>
      <c r="BC114" s="94" t="n"/>
    </row>
    <row r="115" ht="15.75" customHeight="1" s="163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207" t="n">
        <v>1695</v>
      </c>
      <c r="L115" s="207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4" t="n"/>
      <c r="AB115" s="94" t="n"/>
      <c r="AC115" s="94" t="n"/>
      <c r="AD115" s="94" t="n"/>
      <c r="AE115" s="94" t="n"/>
      <c r="AF115" s="94" t="n"/>
      <c r="AG115" s="94" t="n"/>
      <c r="AH115" s="94" t="n"/>
      <c r="AI115" s="94" t="n"/>
      <c r="AJ115" s="94" t="n"/>
      <c r="AK115" s="94" t="n"/>
      <c r="AL115" s="94" t="n"/>
      <c r="AM115" s="94" t="n"/>
      <c r="AN115" s="94" t="n"/>
      <c r="AO115" s="94" t="n"/>
      <c r="AP115" s="94" t="n"/>
      <c r="AQ115" s="94" t="n"/>
      <c r="AR115" s="94" t="n"/>
      <c r="AS115" s="94" t="n"/>
      <c r="AT115" s="94" t="n"/>
      <c r="AU115" s="94" t="n"/>
      <c r="AV115" s="94" t="n"/>
      <c r="AW115" s="94" t="n"/>
      <c r="AX115" s="94" t="n"/>
      <c r="AY115" s="94" t="n"/>
      <c r="AZ115" s="94" t="n"/>
      <c r="BA115" s="94" t="n"/>
      <c r="BB115" s="94" t="n"/>
      <c r="BC115" s="94" t="n"/>
    </row>
    <row r="116" ht="15.75" customHeight="1" s="163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207" t="n">
        <v>1696</v>
      </c>
      <c r="L116" s="207" t="n"/>
      <c r="M116" s="94" t="n"/>
      <c r="N116" s="94" t="n"/>
      <c r="O116" s="94" t="n"/>
      <c r="P116" s="94" t="n"/>
      <c r="Q116" s="94" t="n"/>
      <c r="R116" s="94" t="n"/>
      <c r="S116" s="94" t="n"/>
      <c r="T116" s="94" t="n"/>
      <c r="U116" s="94" t="n"/>
      <c r="V116" s="94" t="n"/>
      <c r="W116" s="94" t="n"/>
      <c r="X116" s="94" t="n"/>
      <c r="Y116" s="94" t="n"/>
      <c r="Z116" s="94" t="n"/>
      <c r="AA116" s="94" t="n"/>
      <c r="AB116" s="94" t="n"/>
      <c r="AC116" s="94" t="n"/>
      <c r="AD116" s="94" t="n"/>
      <c r="AE116" s="94" t="n"/>
      <c r="AF116" s="94" t="n"/>
      <c r="AG116" s="94" t="n"/>
      <c r="AH116" s="94" t="n"/>
      <c r="AI116" s="94" t="n"/>
      <c r="AJ116" s="94" t="n"/>
      <c r="AK116" s="94" t="n"/>
      <c r="AL116" s="94" t="n"/>
      <c r="AM116" s="94" t="n"/>
      <c r="AN116" s="94" t="n"/>
      <c r="AO116" s="94" t="n"/>
      <c r="AP116" s="94" t="n"/>
      <c r="AQ116" s="94" t="n"/>
      <c r="AR116" s="94" t="n"/>
      <c r="AS116" s="94" t="n"/>
      <c r="AT116" s="94" t="n"/>
      <c r="AU116" s="94" t="n"/>
      <c r="AV116" s="94" t="n"/>
      <c r="AW116" s="94" t="n"/>
      <c r="AX116" s="94" t="n"/>
      <c r="AY116" s="94" t="n"/>
      <c r="AZ116" s="94" t="n"/>
      <c r="BA116" s="94" t="n"/>
      <c r="BB116" s="94" t="n"/>
      <c r="BC116" s="94" t="n"/>
    </row>
    <row r="117" ht="15.75" customHeight="1" s="163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207" t="n">
        <v>1697</v>
      </c>
      <c r="L117" s="207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4" t="n"/>
      <c r="AB117" s="94" t="n"/>
      <c r="AC117" s="94" t="n"/>
      <c r="AD117" s="94" t="n"/>
      <c r="AE117" s="94" t="n"/>
      <c r="AF117" s="94" t="n"/>
      <c r="AG117" s="94" t="n"/>
      <c r="AH117" s="94" t="n"/>
      <c r="AI117" s="94" t="n"/>
      <c r="AJ117" s="94" t="n"/>
      <c r="AK117" s="94" t="n"/>
      <c r="AL117" s="94" t="n"/>
      <c r="AM117" s="94" t="n"/>
      <c r="AN117" s="94" t="n"/>
      <c r="AO117" s="94" t="n"/>
      <c r="AP117" s="94" t="n"/>
      <c r="AQ117" s="94" t="n"/>
      <c r="AR117" s="94" t="n"/>
      <c r="AS117" s="94" t="n"/>
      <c r="AT117" s="94" t="n"/>
      <c r="AU117" s="94" t="n"/>
      <c r="AV117" s="94" t="n"/>
      <c r="AW117" s="94" t="n"/>
      <c r="AX117" s="94" t="n"/>
      <c r="AY117" s="94" t="n"/>
      <c r="AZ117" s="94" t="n"/>
      <c r="BA117" s="94" t="n"/>
      <c r="BB117" s="94" t="n"/>
      <c r="BC117" s="94" t="n"/>
    </row>
    <row r="118" ht="15.75" customHeight="1" s="163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207" t="n">
        <v>1698</v>
      </c>
      <c r="L118" s="207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4" t="n"/>
      <c r="AB118" s="94" t="n"/>
      <c r="AC118" s="94" t="n"/>
      <c r="AD118" s="94" t="n"/>
      <c r="AE118" s="94" t="n"/>
      <c r="AF118" s="94" t="n"/>
      <c r="AG118" s="94" t="n"/>
      <c r="AH118" s="94" t="n"/>
      <c r="AI118" s="94" t="n"/>
      <c r="AJ118" s="94" t="n"/>
      <c r="AK118" s="94" t="n"/>
      <c r="AL118" s="94" t="n"/>
      <c r="AM118" s="94" t="n"/>
      <c r="AN118" s="94" t="n"/>
      <c r="AO118" s="94" t="n"/>
      <c r="AP118" s="94" t="n"/>
      <c r="AQ118" s="94" t="n"/>
      <c r="AR118" s="94" t="n"/>
      <c r="AS118" s="94" t="n"/>
      <c r="AT118" s="94" t="n"/>
      <c r="AU118" s="94" t="n"/>
      <c r="AV118" s="94" t="n"/>
      <c r="AW118" s="94" t="n"/>
      <c r="AX118" s="94" t="n"/>
      <c r="AY118" s="94" t="n"/>
      <c r="AZ118" s="94" t="n"/>
      <c r="BA118" s="94" t="n"/>
      <c r="BB118" s="94" t="n"/>
      <c r="BC118" s="94" t="n"/>
    </row>
    <row r="119" ht="15.75" customHeight="1" s="163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207" t="n">
        <v>1699</v>
      </c>
      <c r="L119" s="207" t="n"/>
      <c r="M119" s="94" t="n"/>
      <c r="N119" s="94" t="n"/>
      <c r="O119" s="94" t="n"/>
      <c r="P119" s="94" t="n"/>
      <c r="Q119" s="94" t="n"/>
      <c r="R119" s="94" t="n"/>
      <c r="S119" s="94" t="n"/>
      <c r="T119" s="94" t="n"/>
      <c r="U119" s="94" t="n"/>
      <c r="V119" s="94" t="n"/>
      <c r="W119" s="94" t="n"/>
      <c r="X119" s="94" t="n"/>
      <c r="Y119" s="94" t="n"/>
      <c r="Z119" s="94" t="n"/>
      <c r="AA119" s="94" t="n"/>
      <c r="AB119" s="94" t="n"/>
      <c r="AC119" s="94" t="n"/>
      <c r="AD119" s="94" t="n"/>
      <c r="AE119" s="94" t="n"/>
      <c r="AF119" s="94" t="n"/>
      <c r="AG119" s="94" t="n"/>
      <c r="AH119" s="94" t="n"/>
      <c r="AI119" s="94" t="n"/>
      <c r="AJ119" s="94" t="n"/>
      <c r="AK119" s="94" t="n"/>
      <c r="AL119" s="94" t="n"/>
      <c r="AM119" s="94" t="n"/>
      <c r="AN119" s="94" t="n"/>
      <c r="AO119" s="94" t="n"/>
      <c r="AP119" s="94" t="n"/>
      <c r="AQ119" s="94" t="n"/>
      <c r="AR119" s="94" t="n"/>
      <c r="AS119" s="94" t="n"/>
      <c r="AT119" s="94" t="n"/>
      <c r="AU119" s="94" t="n"/>
      <c r="AV119" s="94" t="n"/>
      <c r="AW119" s="94" t="n"/>
      <c r="AX119" s="94" t="n"/>
      <c r="AY119" s="94" t="n"/>
      <c r="AZ119" s="94" t="n"/>
      <c r="BA119" s="94" t="n"/>
      <c r="BB119" s="94" t="n"/>
      <c r="BC119" s="94" t="n"/>
    </row>
    <row r="120" ht="15.75" customHeight="1" s="163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207" t="n">
        <v>1700</v>
      </c>
      <c r="L120" s="207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4" t="n"/>
      <c r="AB120" s="94" t="n"/>
      <c r="AC120" s="94" t="n"/>
      <c r="AD120" s="94" t="n"/>
      <c r="AE120" s="94" t="n"/>
      <c r="AF120" s="94" t="n"/>
      <c r="AG120" s="94" t="n"/>
      <c r="AH120" s="94" t="n"/>
      <c r="AI120" s="94" t="n"/>
      <c r="AJ120" s="94" t="n"/>
      <c r="AK120" s="94" t="n"/>
      <c r="AL120" s="94" t="n"/>
      <c r="AM120" s="94" t="n"/>
      <c r="AN120" s="94" t="n"/>
      <c r="AO120" s="94" t="n"/>
      <c r="AP120" s="94" t="n"/>
      <c r="AQ120" s="94" t="n"/>
      <c r="AR120" s="94" t="n"/>
      <c r="AS120" s="94" t="n"/>
      <c r="AT120" s="94" t="n"/>
      <c r="AU120" s="94" t="n"/>
      <c r="AV120" s="94" t="n"/>
      <c r="AW120" s="94" t="n"/>
      <c r="AX120" s="94" t="n"/>
      <c r="AY120" s="94" t="n"/>
      <c r="AZ120" s="94" t="n"/>
      <c r="BA120" s="94" t="n"/>
      <c r="BB120" s="94" t="n"/>
      <c r="BC120" s="94" t="n"/>
    </row>
    <row r="121" ht="15.75" customHeight="1" s="163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207" t="n">
        <v>1701</v>
      </c>
      <c r="L121" s="207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4" t="n"/>
      <c r="AB121" s="94" t="n"/>
      <c r="AC121" s="94" t="n"/>
      <c r="AD121" s="94" t="n"/>
      <c r="AE121" s="94" t="n"/>
      <c r="AF121" s="94" t="n"/>
      <c r="AG121" s="94" t="n"/>
      <c r="AH121" s="94" t="n"/>
      <c r="AI121" s="94" t="n"/>
      <c r="AJ121" s="94" t="n"/>
      <c r="AK121" s="94" t="n"/>
      <c r="AL121" s="94" t="n"/>
      <c r="AM121" s="94" t="n"/>
      <c r="AN121" s="94" t="n"/>
      <c r="AO121" s="94" t="n"/>
      <c r="AP121" s="94" t="n"/>
      <c r="AQ121" s="94" t="n"/>
      <c r="AR121" s="94" t="n"/>
      <c r="AS121" s="94" t="n"/>
      <c r="AT121" s="94" t="n"/>
      <c r="AU121" s="94" t="n"/>
      <c r="AV121" s="94" t="n"/>
      <c r="AW121" s="94" t="n"/>
      <c r="AX121" s="94" t="n"/>
      <c r="AY121" s="94" t="n"/>
      <c r="AZ121" s="94" t="n"/>
      <c r="BA121" s="94" t="n"/>
      <c r="BB121" s="94" t="n"/>
      <c r="BC121" s="94" t="n"/>
    </row>
    <row r="122" ht="15.75" customHeight="1" s="163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207" t="n">
        <v>1702</v>
      </c>
      <c r="L122" s="207" t="n"/>
      <c r="M122" s="94" t="n"/>
      <c r="N122" s="94" t="n"/>
      <c r="O122" s="94" t="n"/>
      <c r="P122" s="94" t="n"/>
      <c r="Q122" s="94" t="n"/>
      <c r="R122" s="94" t="n"/>
      <c r="S122" s="94" t="n"/>
      <c r="T122" s="94" t="n"/>
      <c r="U122" s="94" t="n"/>
      <c r="V122" s="94" t="n"/>
      <c r="W122" s="94" t="n"/>
      <c r="X122" s="94" t="n"/>
      <c r="Y122" s="94" t="n"/>
      <c r="Z122" s="94" t="n"/>
      <c r="AA122" s="94" t="n"/>
      <c r="AB122" s="94" t="n"/>
      <c r="AC122" s="94" t="n"/>
      <c r="AD122" s="94" t="n"/>
      <c r="AE122" s="94" t="n"/>
      <c r="AF122" s="94" t="n"/>
      <c r="AG122" s="94" t="n"/>
      <c r="AH122" s="94" t="n"/>
      <c r="AI122" s="94" t="n"/>
      <c r="AJ122" s="94" t="n"/>
      <c r="AK122" s="94" t="n"/>
      <c r="AL122" s="94" t="n"/>
      <c r="AM122" s="94" t="n"/>
      <c r="AN122" s="94" t="n"/>
      <c r="AO122" s="94" t="n"/>
      <c r="AP122" s="94" t="n"/>
      <c r="AQ122" s="94" t="n"/>
      <c r="AR122" s="94" t="n"/>
      <c r="AS122" s="94" t="n"/>
      <c r="AT122" s="94" t="n"/>
      <c r="AU122" s="94" t="n"/>
      <c r="AV122" s="94" t="n"/>
      <c r="AW122" s="94" t="n"/>
      <c r="AX122" s="94" t="n"/>
      <c r="AY122" s="94" t="n"/>
      <c r="AZ122" s="94" t="n"/>
      <c r="BA122" s="94" t="n"/>
      <c r="BB122" s="94" t="n"/>
      <c r="BC122" s="94" t="n"/>
    </row>
    <row r="123" ht="15.75" customHeight="1" s="163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207" t="n">
        <v>1703</v>
      </c>
      <c r="L123" s="207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4" t="n"/>
      <c r="AB123" s="94" t="n"/>
      <c r="AC123" s="94" t="n"/>
      <c r="AD123" s="94" t="n"/>
      <c r="AE123" s="94" t="n"/>
      <c r="AF123" s="94" t="n"/>
      <c r="AG123" s="94" t="n"/>
      <c r="AH123" s="94" t="n"/>
      <c r="AI123" s="94" t="n"/>
      <c r="AJ123" s="94" t="n"/>
      <c r="AK123" s="94" t="n"/>
      <c r="AL123" s="94" t="n"/>
      <c r="AM123" s="94" t="n"/>
      <c r="AN123" s="94" t="n"/>
      <c r="AO123" s="94" t="n"/>
      <c r="AP123" s="94" t="n"/>
      <c r="AQ123" s="94" t="n"/>
      <c r="AR123" s="94" t="n"/>
      <c r="AS123" s="94" t="n"/>
      <c r="AT123" s="94" t="n"/>
      <c r="AU123" s="94" t="n"/>
      <c r="AV123" s="94" t="n"/>
      <c r="AW123" s="94" t="n"/>
      <c r="AX123" s="94" t="n"/>
      <c r="AY123" s="94" t="n"/>
      <c r="AZ123" s="94" t="n"/>
      <c r="BA123" s="94" t="n"/>
      <c r="BB123" s="94" t="n"/>
      <c r="BC123" s="94" t="n"/>
    </row>
    <row r="124" ht="15.75" customHeight="1" s="163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207" t="n">
        <v>1704</v>
      </c>
      <c r="L124" s="207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4" t="n"/>
      <c r="AB124" s="94" t="n"/>
      <c r="AC124" s="94" t="n"/>
      <c r="AD124" s="94" t="n"/>
      <c r="AE124" s="94" t="n"/>
      <c r="AF124" s="94" t="n"/>
      <c r="AG124" s="94" t="n"/>
      <c r="AH124" s="94" t="n"/>
      <c r="AI124" s="94" t="n"/>
      <c r="AJ124" s="94" t="n"/>
      <c r="AK124" s="94" t="n"/>
      <c r="AL124" s="94" t="n"/>
      <c r="AM124" s="94" t="n"/>
      <c r="AN124" s="94" t="n"/>
      <c r="AO124" s="94" t="n"/>
      <c r="AP124" s="94" t="n"/>
      <c r="AQ124" s="94" t="n"/>
      <c r="AR124" s="94" t="n"/>
      <c r="AS124" s="94" t="n"/>
      <c r="AT124" s="94" t="n"/>
      <c r="AU124" s="94" t="n"/>
      <c r="AV124" s="94" t="n"/>
      <c r="AW124" s="94" t="n"/>
      <c r="AX124" s="94" t="n"/>
      <c r="AY124" s="94" t="n"/>
      <c r="AZ124" s="94" t="n"/>
      <c r="BA124" s="94" t="n"/>
      <c r="BB124" s="94" t="n"/>
      <c r="BC124" s="94" t="n"/>
    </row>
    <row r="125" ht="15.75" customHeight="1" s="163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207" t="n">
        <v>1705</v>
      </c>
      <c r="L125" s="207" t="n"/>
      <c r="M125" s="94" t="n"/>
      <c r="N125" s="94" t="n"/>
      <c r="O125" s="94" t="n"/>
      <c r="P125" s="94" t="n"/>
      <c r="Q125" s="94" t="n"/>
      <c r="R125" s="94" t="n"/>
      <c r="S125" s="94" t="n"/>
      <c r="T125" s="94" t="n"/>
      <c r="U125" s="94" t="n"/>
      <c r="V125" s="94" t="n"/>
      <c r="W125" s="94" t="n"/>
      <c r="X125" s="94" t="n"/>
      <c r="Y125" s="94" t="n"/>
      <c r="Z125" s="94" t="n"/>
      <c r="AA125" s="94" t="n"/>
      <c r="AB125" s="94" t="n"/>
      <c r="AC125" s="94" t="n"/>
      <c r="AD125" s="94" t="n"/>
      <c r="AE125" s="94" t="n"/>
      <c r="AF125" s="94" t="n"/>
      <c r="AG125" s="94" t="n"/>
      <c r="AH125" s="94" t="n"/>
      <c r="AI125" s="94" t="n"/>
      <c r="AJ125" s="94" t="n"/>
      <c r="AK125" s="94" t="n"/>
      <c r="AL125" s="94" t="n"/>
      <c r="AM125" s="94" t="n"/>
      <c r="AN125" s="94" t="n"/>
      <c r="AO125" s="94" t="n"/>
      <c r="AP125" s="94" t="n"/>
      <c r="AQ125" s="94" t="n"/>
      <c r="AR125" s="94" t="n"/>
      <c r="AS125" s="94" t="n"/>
      <c r="AT125" s="94" t="n"/>
      <c r="AU125" s="94" t="n"/>
      <c r="AV125" s="94" t="n"/>
      <c r="AW125" s="94" t="n"/>
      <c r="AX125" s="94" t="n"/>
      <c r="AY125" s="94" t="n"/>
      <c r="AZ125" s="94" t="n"/>
      <c r="BA125" s="94" t="n"/>
      <c r="BB125" s="94" t="n"/>
      <c r="BC125" s="94" t="n"/>
    </row>
    <row r="126" ht="15.75" customHeight="1" s="163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207" t="n">
        <v>1706</v>
      </c>
      <c r="L126" s="207" t="n"/>
      <c r="M126" s="94" t="n"/>
      <c r="N126" s="94" t="n"/>
      <c r="O126" s="94" t="n"/>
      <c r="P126" s="94" t="n"/>
      <c r="Q126" s="94" t="n"/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  <c r="AA126" s="94" t="n"/>
      <c r="AB126" s="94" t="n"/>
      <c r="AC126" s="94" t="n"/>
      <c r="AD126" s="94" t="n"/>
      <c r="AE126" s="94" t="n"/>
      <c r="AF126" s="94" t="n"/>
      <c r="AG126" s="94" t="n"/>
      <c r="AH126" s="94" t="n"/>
      <c r="AI126" s="94" t="n"/>
      <c r="AJ126" s="94" t="n"/>
      <c r="AK126" s="94" t="n"/>
      <c r="AL126" s="94" t="n"/>
      <c r="AM126" s="94" t="n"/>
      <c r="AN126" s="94" t="n"/>
      <c r="AO126" s="94" t="n"/>
      <c r="AP126" s="94" t="n"/>
      <c r="AQ126" s="94" t="n"/>
      <c r="AR126" s="94" t="n"/>
      <c r="AS126" s="94" t="n"/>
      <c r="AT126" s="94" t="n"/>
      <c r="AU126" s="94" t="n"/>
      <c r="AV126" s="94" t="n"/>
      <c r="AW126" s="94" t="n"/>
      <c r="AX126" s="94" t="n"/>
      <c r="AY126" s="94" t="n"/>
      <c r="AZ126" s="94" t="n"/>
      <c r="BA126" s="94" t="n"/>
      <c r="BB126" s="94" t="n"/>
      <c r="BC126" s="94" t="n"/>
    </row>
    <row r="127" ht="15.75" customHeight="1" s="163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207" t="n">
        <v>1707</v>
      </c>
      <c r="L127" s="207" t="n"/>
      <c r="M127" s="94" t="n"/>
      <c r="N127" s="94" t="n"/>
      <c r="O127" s="94" t="n"/>
      <c r="P127" s="94" t="n"/>
      <c r="Q127" s="94" t="n"/>
      <c r="R127" s="94" t="n"/>
      <c r="S127" s="94" t="n"/>
      <c r="T127" s="94" t="n"/>
      <c r="U127" s="94" t="n"/>
      <c r="V127" s="94" t="n"/>
      <c r="W127" s="94" t="n"/>
      <c r="X127" s="94" t="n"/>
      <c r="Y127" s="94" t="n"/>
      <c r="Z127" s="94" t="n"/>
      <c r="AA127" s="94" t="n"/>
      <c r="AB127" s="94" t="n"/>
      <c r="AC127" s="94" t="n"/>
      <c r="AD127" s="94" t="n"/>
      <c r="AE127" s="94" t="n"/>
      <c r="AF127" s="94" t="n"/>
      <c r="AG127" s="94" t="n"/>
      <c r="AH127" s="94" t="n"/>
      <c r="AI127" s="94" t="n"/>
      <c r="AJ127" s="94" t="n"/>
      <c r="AK127" s="94" t="n"/>
      <c r="AL127" s="94" t="n"/>
      <c r="AM127" s="94" t="n"/>
      <c r="AN127" s="94" t="n"/>
      <c r="AO127" s="94" t="n"/>
      <c r="AP127" s="94" t="n"/>
      <c r="AQ127" s="94" t="n"/>
      <c r="AR127" s="94" t="n"/>
      <c r="AS127" s="94" t="n"/>
      <c r="AT127" s="94" t="n"/>
      <c r="AU127" s="94" t="n"/>
      <c r="AV127" s="94" t="n"/>
      <c r="AW127" s="94" t="n"/>
      <c r="AX127" s="94" t="n"/>
      <c r="AY127" s="94" t="n"/>
      <c r="AZ127" s="94" t="n"/>
      <c r="BA127" s="94" t="n"/>
      <c r="BB127" s="94" t="n"/>
      <c r="BC127" s="94" t="n"/>
    </row>
    <row r="128" ht="15.75" customHeight="1" s="163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207" t="n">
        <v>1708</v>
      </c>
      <c r="L128" s="207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  <c r="V128" s="94" t="n"/>
      <c r="W128" s="94" t="n"/>
      <c r="X128" s="94" t="n"/>
      <c r="Y128" s="94" t="n"/>
      <c r="Z128" s="94" t="n"/>
      <c r="AA128" s="94" t="n"/>
      <c r="AB128" s="94" t="n"/>
      <c r="AC128" s="94" t="n"/>
      <c r="AD128" s="94" t="n"/>
      <c r="AE128" s="94" t="n"/>
      <c r="AF128" s="94" t="n"/>
      <c r="AG128" s="94" t="n"/>
      <c r="AH128" s="94" t="n"/>
      <c r="AI128" s="94" t="n"/>
      <c r="AJ128" s="94" t="n"/>
      <c r="AK128" s="94" t="n"/>
      <c r="AL128" s="94" t="n"/>
      <c r="AM128" s="94" t="n"/>
      <c r="AN128" s="94" t="n"/>
      <c r="AO128" s="94" t="n"/>
      <c r="AP128" s="94" t="n"/>
      <c r="AQ128" s="94" t="n"/>
      <c r="AR128" s="94" t="n"/>
      <c r="AS128" s="94" t="n"/>
      <c r="AT128" s="94" t="n"/>
      <c r="AU128" s="94" t="n"/>
      <c r="AV128" s="94" t="n"/>
      <c r="AW128" s="94" t="n"/>
      <c r="AX128" s="94" t="n"/>
      <c r="AY128" s="94" t="n"/>
      <c r="AZ128" s="94" t="n"/>
      <c r="BA128" s="94" t="n"/>
      <c r="BB128" s="94" t="n"/>
      <c r="BC128" s="94" t="n"/>
    </row>
    <row r="129" ht="15.75" customHeight="1" s="163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207" t="n">
        <v>1709</v>
      </c>
      <c r="L129" s="207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  <c r="AB129" s="94" t="n"/>
      <c r="AC129" s="94" t="n"/>
      <c r="AD129" s="94" t="n"/>
      <c r="AE129" s="94" t="n"/>
      <c r="AF129" s="94" t="n"/>
      <c r="AG129" s="94" t="n"/>
      <c r="AH129" s="94" t="n"/>
      <c r="AI129" s="94" t="n"/>
      <c r="AJ129" s="94" t="n"/>
      <c r="AK129" s="94" t="n"/>
      <c r="AL129" s="94" t="n"/>
      <c r="AM129" s="94" t="n"/>
      <c r="AN129" s="94" t="n"/>
      <c r="AO129" s="94" t="n"/>
      <c r="AP129" s="94" t="n"/>
      <c r="AQ129" s="94" t="n"/>
      <c r="AR129" s="94" t="n"/>
      <c r="AS129" s="94" t="n"/>
      <c r="AT129" s="94" t="n"/>
      <c r="AU129" s="94" t="n"/>
      <c r="AV129" s="94" t="n"/>
      <c r="AW129" s="94" t="n"/>
      <c r="AX129" s="94" t="n"/>
      <c r="AY129" s="94" t="n"/>
      <c r="AZ129" s="94" t="n"/>
      <c r="BA129" s="94" t="n"/>
      <c r="BB129" s="94" t="n"/>
      <c r="BC129" s="94" t="n"/>
    </row>
    <row r="130" ht="15.75" customHeight="1" s="163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207" t="n">
        <v>1710</v>
      </c>
      <c r="L130" s="207" t="n"/>
      <c r="M130" s="94" t="n"/>
      <c r="N130" s="94" t="n"/>
      <c r="O130" s="94" t="n"/>
      <c r="P130" s="94" t="n"/>
      <c r="Q130" s="94" t="n"/>
      <c r="R130" s="94" t="n"/>
      <c r="S130" s="94" t="n"/>
      <c r="T130" s="94" t="n"/>
      <c r="U130" s="94" t="n"/>
      <c r="V130" s="94" t="n"/>
      <c r="W130" s="94" t="n"/>
      <c r="X130" s="94" t="n"/>
      <c r="Y130" s="94" t="n"/>
      <c r="Z130" s="94" t="n"/>
      <c r="AA130" s="94" t="n"/>
      <c r="AB130" s="94" t="n"/>
      <c r="AC130" s="94" t="n"/>
      <c r="AD130" s="94" t="n"/>
      <c r="AE130" s="94" t="n"/>
      <c r="AF130" s="94" t="n"/>
      <c r="AG130" s="94" t="n"/>
      <c r="AH130" s="94" t="n"/>
      <c r="AI130" s="94" t="n"/>
      <c r="AJ130" s="94" t="n"/>
      <c r="AK130" s="94" t="n"/>
      <c r="AL130" s="94" t="n"/>
      <c r="AM130" s="94" t="n"/>
      <c r="AN130" s="94" t="n"/>
      <c r="AO130" s="94" t="n"/>
      <c r="AP130" s="94" t="n"/>
      <c r="AQ130" s="94" t="n"/>
      <c r="AR130" s="94" t="n"/>
      <c r="AS130" s="94" t="n"/>
      <c r="AT130" s="94" t="n"/>
      <c r="AU130" s="94" t="n"/>
      <c r="AV130" s="94" t="n"/>
      <c r="AW130" s="94" t="n"/>
      <c r="AX130" s="94" t="n"/>
      <c r="AY130" s="94" t="n"/>
      <c r="AZ130" s="94" t="n"/>
      <c r="BA130" s="94" t="n"/>
      <c r="BB130" s="94" t="n"/>
      <c r="BC130" s="94" t="n"/>
    </row>
    <row r="131" ht="15.75" customHeight="1" s="163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207" t="n">
        <v>1711</v>
      </c>
      <c r="L131" s="207" t="n"/>
      <c r="M131" s="94" t="n"/>
      <c r="N131" s="94" t="n"/>
      <c r="O131" s="94" t="n"/>
      <c r="P131" s="94" t="n"/>
      <c r="Q131" s="94" t="n"/>
      <c r="R131" s="94" t="n"/>
      <c r="S131" s="94" t="n"/>
      <c r="T131" s="94" t="n"/>
      <c r="U131" s="94" t="n"/>
      <c r="V131" s="94" t="n"/>
      <c r="W131" s="94" t="n"/>
      <c r="X131" s="94" t="n"/>
      <c r="Y131" s="94" t="n"/>
      <c r="Z131" s="94" t="n"/>
      <c r="AA131" s="94" t="n"/>
      <c r="AB131" s="94" t="n"/>
      <c r="AC131" s="94" t="n"/>
      <c r="AD131" s="94" t="n"/>
      <c r="AE131" s="94" t="n"/>
      <c r="AF131" s="94" t="n"/>
      <c r="AG131" s="94" t="n"/>
      <c r="AH131" s="94" t="n"/>
      <c r="AI131" s="94" t="n"/>
      <c r="AJ131" s="94" t="n"/>
      <c r="AK131" s="94" t="n"/>
      <c r="AL131" s="94" t="n"/>
      <c r="AM131" s="94" t="n"/>
      <c r="AN131" s="94" t="n"/>
      <c r="AO131" s="94" t="n"/>
      <c r="AP131" s="94" t="n"/>
      <c r="AQ131" s="94" t="n"/>
      <c r="AR131" s="94" t="n"/>
      <c r="AS131" s="94" t="n"/>
      <c r="AT131" s="94" t="n"/>
      <c r="AU131" s="94" t="n"/>
      <c r="AV131" s="94" t="n"/>
      <c r="AW131" s="94" t="n"/>
      <c r="AX131" s="94" t="n"/>
      <c r="AY131" s="94" t="n"/>
      <c r="AZ131" s="94" t="n"/>
      <c r="BA131" s="94" t="n"/>
      <c r="BB131" s="94" t="n"/>
      <c r="BC131" s="94" t="n"/>
    </row>
    <row r="132" ht="15.75" customHeight="1" s="163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207" t="n">
        <v>1712</v>
      </c>
      <c r="L132" s="207" t="n"/>
      <c r="M132" s="94" t="n"/>
      <c r="N132" s="94" t="n"/>
      <c r="O132" s="94" t="n"/>
      <c r="P132" s="94" t="n"/>
      <c r="Q132" s="94" t="n"/>
      <c r="R132" s="94" t="n"/>
      <c r="S132" s="94" t="n"/>
      <c r="T132" s="94" t="n"/>
      <c r="U132" s="94" t="n"/>
      <c r="V132" s="94" t="n"/>
      <c r="W132" s="94" t="n"/>
      <c r="X132" s="94" t="n"/>
      <c r="Y132" s="94" t="n"/>
      <c r="Z132" s="94" t="n"/>
      <c r="AA132" s="94" t="n"/>
      <c r="AB132" s="94" t="n"/>
      <c r="AC132" s="94" t="n"/>
      <c r="AD132" s="94" t="n"/>
      <c r="AE132" s="94" t="n"/>
      <c r="AF132" s="94" t="n"/>
      <c r="AG132" s="94" t="n"/>
      <c r="AH132" s="94" t="n"/>
      <c r="AI132" s="94" t="n"/>
      <c r="AJ132" s="94" t="n"/>
      <c r="AK132" s="94" t="n"/>
      <c r="AL132" s="94" t="n"/>
      <c r="AM132" s="94" t="n"/>
      <c r="AN132" s="94" t="n"/>
      <c r="AO132" s="94" t="n"/>
      <c r="AP132" s="94" t="n"/>
      <c r="AQ132" s="94" t="n"/>
      <c r="AR132" s="94" t="n"/>
      <c r="AS132" s="94" t="n"/>
      <c r="AT132" s="94" t="n"/>
      <c r="AU132" s="94" t="n"/>
      <c r="AV132" s="94" t="n"/>
      <c r="AW132" s="94" t="n"/>
      <c r="AX132" s="94" t="n"/>
      <c r="AY132" s="94" t="n"/>
      <c r="AZ132" s="94" t="n"/>
      <c r="BA132" s="94" t="n"/>
      <c r="BB132" s="94" t="n"/>
      <c r="BC132" s="94" t="n"/>
    </row>
    <row r="133" ht="15.75" customHeight="1" s="163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207" t="n">
        <v>1713</v>
      </c>
      <c r="L133" s="207" t="n"/>
      <c r="M133" s="94" t="n"/>
      <c r="N133" s="94" t="n"/>
      <c r="O133" s="94" t="n"/>
      <c r="P133" s="94" t="n"/>
      <c r="Q133" s="94" t="n"/>
      <c r="R133" s="94" t="n"/>
      <c r="S133" s="94" t="n"/>
      <c r="T133" s="94" t="n"/>
      <c r="U133" s="94" t="n"/>
      <c r="V133" s="94" t="n"/>
      <c r="W133" s="94" t="n"/>
      <c r="X133" s="94" t="n"/>
      <c r="Y133" s="94" t="n"/>
      <c r="Z133" s="94" t="n"/>
      <c r="AA133" s="94" t="n"/>
      <c r="AB133" s="94" t="n"/>
      <c r="AC133" s="94" t="n"/>
      <c r="AD133" s="94" t="n"/>
      <c r="AE133" s="94" t="n"/>
      <c r="AF133" s="94" t="n"/>
      <c r="AG133" s="94" t="n"/>
      <c r="AH133" s="94" t="n"/>
      <c r="AI133" s="94" t="n"/>
      <c r="AJ133" s="94" t="n"/>
      <c r="AK133" s="94" t="n"/>
      <c r="AL133" s="94" t="n"/>
      <c r="AM133" s="94" t="n"/>
      <c r="AN133" s="94" t="n"/>
      <c r="AO133" s="94" t="n"/>
      <c r="AP133" s="94" t="n"/>
      <c r="AQ133" s="94" t="n"/>
      <c r="AR133" s="94" t="n"/>
      <c r="AS133" s="94" t="n"/>
      <c r="AT133" s="94" t="n"/>
      <c r="AU133" s="94" t="n"/>
      <c r="AV133" s="94" t="n"/>
      <c r="AW133" s="94" t="n"/>
      <c r="AX133" s="94" t="n"/>
      <c r="AY133" s="94" t="n"/>
      <c r="AZ133" s="94" t="n"/>
      <c r="BA133" s="94" t="n"/>
      <c r="BB133" s="94" t="n"/>
      <c r="BC133" s="94" t="n"/>
    </row>
    <row r="134" ht="15.75" customHeight="1" s="163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207" t="n">
        <v>1714</v>
      </c>
      <c r="L134" s="207" t="n"/>
      <c r="M134" s="94" t="n"/>
      <c r="N134" s="94" t="n"/>
      <c r="O134" s="94" t="n"/>
      <c r="P134" s="94" t="n"/>
      <c r="Q134" s="94" t="n"/>
      <c r="R134" s="94" t="n"/>
      <c r="S134" s="94" t="n"/>
      <c r="T134" s="94" t="n"/>
      <c r="U134" s="94" t="n"/>
      <c r="V134" s="94" t="n"/>
      <c r="W134" s="94" t="n"/>
      <c r="X134" s="94" t="n"/>
      <c r="Y134" s="94" t="n"/>
      <c r="Z134" s="94" t="n"/>
      <c r="AA134" s="94" t="n"/>
      <c r="AB134" s="94" t="n"/>
      <c r="AC134" s="94" t="n"/>
      <c r="AD134" s="94" t="n"/>
      <c r="AE134" s="94" t="n"/>
      <c r="AF134" s="94" t="n"/>
      <c r="AG134" s="94" t="n"/>
      <c r="AH134" s="94" t="n"/>
      <c r="AI134" s="94" t="n"/>
      <c r="AJ134" s="94" t="n"/>
      <c r="AK134" s="94" t="n"/>
      <c r="AL134" s="94" t="n"/>
      <c r="AM134" s="94" t="n"/>
      <c r="AN134" s="94" t="n"/>
      <c r="AO134" s="94" t="n"/>
      <c r="AP134" s="94" t="n"/>
      <c r="AQ134" s="94" t="n"/>
      <c r="AR134" s="94" t="n"/>
      <c r="AS134" s="94" t="n"/>
      <c r="AT134" s="94" t="n"/>
      <c r="AU134" s="94" t="n"/>
      <c r="AV134" s="94" t="n"/>
      <c r="AW134" s="94" t="n"/>
      <c r="AX134" s="94" t="n"/>
      <c r="AY134" s="94" t="n"/>
      <c r="AZ134" s="94" t="n"/>
      <c r="BA134" s="94" t="n"/>
      <c r="BB134" s="94" t="n"/>
      <c r="BC134" s="94" t="n"/>
    </row>
    <row r="135" ht="15.75" customHeight="1" s="163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207" t="n">
        <v>1715</v>
      </c>
      <c r="L135" s="207" t="n"/>
      <c r="M135" s="94" t="n"/>
      <c r="N135" s="94" t="n"/>
      <c r="O135" s="94" t="n"/>
      <c r="P135" s="94" t="n"/>
      <c r="Q135" s="94" t="n"/>
      <c r="R135" s="94" t="n"/>
      <c r="S135" s="94" t="n"/>
      <c r="T135" s="94" t="n"/>
      <c r="U135" s="94" t="n"/>
      <c r="V135" s="94" t="n"/>
      <c r="W135" s="94" t="n"/>
      <c r="X135" s="94" t="n"/>
      <c r="Y135" s="94" t="n"/>
      <c r="Z135" s="94" t="n"/>
      <c r="AA135" s="94" t="n"/>
      <c r="AB135" s="94" t="n"/>
      <c r="AC135" s="94" t="n"/>
      <c r="AD135" s="94" t="n"/>
      <c r="AE135" s="94" t="n"/>
      <c r="AF135" s="94" t="n"/>
      <c r="AG135" s="94" t="n"/>
      <c r="AH135" s="94" t="n"/>
      <c r="AI135" s="94" t="n"/>
      <c r="AJ135" s="94" t="n"/>
      <c r="AK135" s="94" t="n"/>
      <c r="AL135" s="94" t="n"/>
      <c r="AM135" s="94" t="n"/>
      <c r="AN135" s="94" t="n"/>
      <c r="AO135" s="94" t="n"/>
      <c r="AP135" s="94" t="n"/>
      <c r="AQ135" s="94" t="n"/>
      <c r="AR135" s="94" t="n"/>
      <c r="AS135" s="94" t="n"/>
      <c r="AT135" s="94" t="n"/>
      <c r="AU135" s="94" t="n"/>
      <c r="AV135" s="94" t="n"/>
      <c r="AW135" s="94" t="n"/>
      <c r="AX135" s="94" t="n"/>
      <c r="AY135" s="94" t="n"/>
      <c r="AZ135" s="94" t="n"/>
      <c r="BA135" s="94" t="n"/>
      <c r="BB135" s="94" t="n"/>
      <c r="BC135" s="94" t="n"/>
    </row>
    <row r="136" ht="15.75" customHeight="1" s="163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207" t="n">
        <v>1716</v>
      </c>
      <c r="L136" s="207" t="n"/>
      <c r="M136" s="94" t="n"/>
      <c r="N136" s="94" t="n"/>
      <c r="O136" s="94" t="n"/>
      <c r="P136" s="94" t="n"/>
      <c r="Q136" s="94" t="n"/>
      <c r="R136" s="94" t="n"/>
      <c r="S136" s="94" t="n"/>
      <c r="T136" s="94" t="n"/>
      <c r="U136" s="94" t="n"/>
      <c r="V136" s="94" t="n"/>
      <c r="W136" s="94" t="n"/>
      <c r="X136" s="94" t="n"/>
      <c r="Y136" s="94" t="n"/>
      <c r="Z136" s="94" t="n"/>
      <c r="AA136" s="94" t="n"/>
      <c r="AB136" s="94" t="n"/>
      <c r="AC136" s="94" t="n"/>
      <c r="AD136" s="94" t="n"/>
      <c r="AE136" s="94" t="n"/>
      <c r="AF136" s="94" t="n"/>
      <c r="AG136" s="94" t="n"/>
      <c r="AH136" s="94" t="n"/>
      <c r="AI136" s="94" t="n"/>
      <c r="AJ136" s="94" t="n"/>
      <c r="AK136" s="94" t="n"/>
      <c r="AL136" s="94" t="n"/>
      <c r="AM136" s="94" t="n"/>
      <c r="AN136" s="94" t="n"/>
      <c r="AO136" s="94" t="n"/>
      <c r="AP136" s="94" t="n"/>
      <c r="AQ136" s="94" t="n"/>
      <c r="AR136" s="94" t="n"/>
      <c r="AS136" s="94" t="n"/>
      <c r="AT136" s="94" t="n"/>
      <c r="AU136" s="94" t="n"/>
      <c r="AV136" s="94" t="n"/>
      <c r="AW136" s="94" t="n"/>
      <c r="AX136" s="94" t="n"/>
      <c r="AY136" s="94" t="n"/>
      <c r="AZ136" s="94" t="n"/>
      <c r="BA136" s="94" t="n"/>
      <c r="BB136" s="94" t="n"/>
      <c r="BC136" s="94" t="n"/>
    </row>
    <row r="137" ht="15.75" customHeight="1" s="163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207" t="n">
        <v>1717</v>
      </c>
      <c r="L137" s="207" t="n"/>
      <c r="M137" s="94" t="n"/>
      <c r="N137" s="94" t="n"/>
      <c r="O137" s="94" t="n"/>
      <c r="P137" s="94" t="n"/>
      <c r="Q137" s="94" t="n"/>
      <c r="R137" s="94" t="n"/>
      <c r="S137" s="94" t="n"/>
      <c r="T137" s="94" t="n"/>
      <c r="U137" s="94" t="n"/>
      <c r="V137" s="94" t="n"/>
      <c r="W137" s="94" t="n"/>
      <c r="X137" s="94" t="n"/>
      <c r="Y137" s="94" t="n"/>
      <c r="Z137" s="94" t="n"/>
      <c r="AA137" s="94" t="n"/>
      <c r="AB137" s="94" t="n"/>
      <c r="AC137" s="94" t="n"/>
      <c r="AD137" s="94" t="n"/>
      <c r="AE137" s="94" t="n"/>
      <c r="AF137" s="94" t="n"/>
      <c r="AG137" s="94" t="n"/>
      <c r="AH137" s="94" t="n"/>
      <c r="AI137" s="94" t="n"/>
      <c r="AJ137" s="94" t="n"/>
      <c r="AK137" s="94" t="n"/>
      <c r="AL137" s="94" t="n"/>
      <c r="AM137" s="94" t="n"/>
      <c r="AN137" s="94" t="n"/>
      <c r="AO137" s="94" t="n"/>
      <c r="AP137" s="94" t="n"/>
      <c r="AQ137" s="94" t="n"/>
      <c r="AR137" s="94" t="n"/>
      <c r="AS137" s="94" t="n"/>
      <c r="AT137" s="94" t="n"/>
      <c r="AU137" s="94" t="n"/>
      <c r="AV137" s="94" t="n"/>
      <c r="AW137" s="94" t="n"/>
      <c r="AX137" s="94" t="n"/>
      <c r="AY137" s="94" t="n"/>
      <c r="AZ137" s="94" t="n"/>
      <c r="BA137" s="94" t="n"/>
      <c r="BB137" s="94" t="n"/>
      <c r="BC137" s="94" t="n"/>
    </row>
    <row r="138" ht="15.75" customHeight="1" s="163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4" t="n"/>
      <c r="AB138" s="94" t="n"/>
      <c r="AC138" s="94" t="n"/>
      <c r="AD138" s="94" t="n"/>
      <c r="AE138" s="94" t="n"/>
      <c r="AF138" s="94" t="n"/>
      <c r="AG138" s="94" t="n"/>
      <c r="AH138" s="94" t="n"/>
      <c r="AI138" s="94" t="n"/>
      <c r="AJ138" s="94" t="n"/>
      <c r="AK138" s="94" t="n"/>
      <c r="AL138" s="94" t="n"/>
      <c r="AM138" s="94" t="n"/>
      <c r="AN138" s="94" t="n"/>
      <c r="AO138" s="94" t="n"/>
      <c r="AP138" s="94" t="n"/>
      <c r="AQ138" s="94" t="n"/>
      <c r="AR138" s="94" t="n"/>
      <c r="AS138" s="94" t="n"/>
      <c r="AT138" s="94" t="n"/>
      <c r="AU138" s="94" t="n"/>
      <c r="AV138" s="94" t="n"/>
      <c r="AW138" s="94" t="n"/>
      <c r="AX138" s="94" t="n"/>
      <c r="AY138" s="94" t="n"/>
      <c r="AZ138" s="94" t="n"/>
      <c r="BA138" s="94" t="n"/>
      <c r="BB138" s="94" t="n"/>
      <c r="BC138" s="94" t="n"/>
    </row>
    <row r="139" ht="15.75" customHeight="1" s="163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BC139" s="94" t="n"/>
    </row>
    <row r="140" ht="15.75" customHeight="1" s="163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O140" s="94" t="n"/>
      <c r="P140" s="94" t="n"/>
      <c r="Q140" s="94" t="n"/>
      <c r="R140" s="94" t="n"/>
      <c r="S140" s="94" t="n"/>
      <c r="T140" s="94" t="n"/>
      <c r="U140" s="94" t="n"/>
      <c r="V140" s="94" t="n"/>
      <c r="W140" s="94" t="n"/>
      <c r="X140" s="94" t="n"/>
      <c r="BC140" s="94" t="n"/>
    </row>
    <row r="141" ht="15.75" customHeight="1" s="163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BC141" s="94" t="n"/>
    </row>
    <row r="142" ht="15.75" customHeight="1" s="163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BC142" s="94" t="n"/>
    </row>
    <row r="143" ht="15.75" customHeight="1" s="163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O143" s="94" t="n"/>
      <c r="P143" s="94" t="n"/>
      <c r="Q143" s="94" t="n"/>
      <c r="R143" s="94" t="n"/>
      <c r="S143" s="94" t="n"/>
      <c r="T143" s="94" t="n"/>
      <c r="U143" s="94" t="n"/>
      <c r="V143" s="94" t="n"/>
      <c r="W143" s="94" t="n"/>
      <c r="X143" s="94" t="n"/>
      <c r="BC143" s="94" t="n"/>
    </row>
    <row r="144" ht="15.75" customHeight="1" s="163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BC144" s="94" t="n"/>
    </row>
    <row r="145" ht="15.75" customHeight="1" s="163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BC145" s="94" t="n"/>
    </row>
    <row r="146" ht="15.75" customHeight="1" s="163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O146" s="94" t="n"/>
      <c r="P146" s="94" t="n"/>
      <c r="Q146" s="94" t="n"/>
      <c r="R146" s="94" t="n"/>
      <c r="S146" s="94" t="n"/>
      <c r="T146" s="94" t="n"/>
      <c r="U146" s="94" t="n"/>
      <c r="V146" s="94" t="n"/>
      <c r="W146" s="94" t="n"/>
      <c r="X146" s="94" t="n"/>
      <c r="BC146" s="94" t="n"/>
    </row>
    <row r="147" ht="15.75" customHeight="1" s="163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BC147" s="94" t="n"/>
    </row>
    <row r="148" ht="15.75" customHeight="1" s="163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O148" s="94" t="n"/>
      <c r="P148" s="94" t="n"/>
      <c r="Q148" s="94" t="n"/>
      <c r="R148" s="94" t="n"/>
      <c r="S148" s="94" t="n"/>
      <c r="T148" s="94" t="n"/>
      <c r="U148" s="94" t="n"/>
      <c r="V148" s="94" t="n"/>
      <c r="W148" s="94" t="n"/>
      <c r="X148" s="94" t="n"/>
      <c r="BC148" s="94" t="n"/>
    </row>
    <row r="149" ht="15.75" customHeight="1" s="163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O149" s="94" t="n"/>
      <c r="P149" s="94" t="n"/>
      <c r="Q149" s="94" t="n"/>
      <c r="R149" s="94" t="n"/>
      <c r="S149" s="94" t="n"/>
      <c r="T149" s="94" t="n"/>
      <c r="U149" s="94" t="n"/>
      <c r="V149" s="94" t="n"/>
      <c r="W149" s="94" t="n"/>
      <c r="X149" s="94" t="n"/>
      <c r="BC149" s="94" t="n"/>
    </row>
    <row r="150" ht="15.75" customHeight="1" s="163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BC150" s="94" t="n"/>
    </row>
    <row r="151" ht="15.75" customHeight="1" s="163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BC151" s="94" t="n"/>
    </row>
    <row r="152" ht="15.75" customHeight="1" s="163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O152" s="94" t="n"/>
      <c r="P152" s="94" t="n"/>
      <c r="Q152" s="94" t="n"/>
      <c r="R152" s="94" t="n"/>
      <c r="S152" s="94" t="n"/>
      <c r="T152" s="94" t="n"/>
      <c r="U152" s="94" t="n"/>
      <c r="V152" s="94" t="n"/>
      <c r="W152" s="94" t="n"/>
      <c r="X152" s="94" t="n"/>
      <c r="BC152" s="94" t="n"/>
    </row>
    <row r="153" ht="15.75" customHeight="1" s="163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BC153" s="94" t="n"/>
    </row>
    <row r="154" ht="15.75" customHeight="1" s="163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BC154" s="94" t="n"/>
    </row>
    <row r="155" ht="15.75" customHeight="1" s="163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O155" s="94" t="n"/>
      <c r="P155" s="94" t="n"/>
      <c r="Q155" s="94" t="n"/>
      <c r="R155" s="94" t="n"/>
      <c r="S155" s="94" t="n"/>
      <c r="T155" s="94" t="n"/>
      <c r="U155" s="94" t="n"/>
      <c r="V155" s="94" t="n"/>
      <c r="W155" s="94" t="n"/>
      <c r="X155" s="94" t="n"/>
      <c r="BC155" s="94" t="n"/>
    </row>
    <row r="156" ht="15.75" customHeight="1" s="163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BC156" s="94" t="n"/>
    </row>
    <row r="157" ht="15.75" customHeight="1" s="163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BC157" s="94" t="n"/>
    </row>
    <row r="158" ht="15.75" customHeight="1" s="163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O158" s="94" t="n"/>
      <c r="P158" s="94" t="n"/>
      <c r="Q158" s="94" t="n"/>
      <c r="R158" s="94" t="n"/>
      <c r="S158" s="94" t="n"/>
      <c r="T158" s="94" t="n"/>
      <c r="U158" s="94" t="n"/>
      <c r="V158" s="94" t="n"/>
      <c r="W158" s="94" t="n"/>
      <c r="X158" s="94" t="n"/>
      <c r="BC158" s="94" t="n"/>
    </row>
    <row r="159" ht="15.75" customHeight="1" s="163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BC159" s="94" t="n"/>
    </row>
    <row r="160" ht="15.75" customHeight="1" s="163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BC160" s="94" t="n"/>
    </row>
    <row r="161" ht="15.75" customHeight="1" s="163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O161" s="94" t="n"/>
      <c r="P161" s="94" t="n"/>
      <c r="Q161" s="94" t="n"/>
      <c r="R161" s="94" t="n"/>
      <c r="S161" s="94" t="n"/>
      <c r="T161" s="94" t="n"/>
      <c r="U161" s="94" t="n"/>
      <c r="V161" s="94" t="n"/>
      <c r="W161" s="94" t="n"/>
      <c r="X161" s="94" t="n"/>
      <c r="BC161" s="94" t="n"/>
    </row>
    <row r="162" ht="15.75" customHeight="1" s="163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BC162" s="94" t="n"/>
    </row>
    <row r="163" ht="15.75" customHeight="1" s="163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BC163" s="94" t="n"/>
    </row>
    <row r="164" ht="15.75" customHeight="1" s="163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  <c r="V164" s="94" t="n"/>
      <c r="W164" s="94" t="n"/>
      <c r="X164" s="94" t="n"/>
      <c r="BC164" s="94" t="n"/>
    </row>
    <row r="165" ht="15.75" customHeight="1" s="163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BC165" s="94" t="n"/>
    </row>
    <row r="166" ht="15.75" customHeight="1" s="163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BC166" s="94" t="n"/>
    </row>
    <row r="167" ht="15.75" customHeight="1" s="163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O167" s="94" t="n"/>
      <c r="P167" s="94" t="n"/>
      <c r="Q167" s="94" t="n"/>
      <c r="R167" s="94" t="n"/>
      <c r="S167" s="94" t="n"/>
      <c r="T167" s="94" t="n"/>
      <c r="U167" s="94" t="n"/>
      <c r="V167" s="94" t="n"/>
      <c r="W167" s="94" t="n"/>
      <c r="X167" s="94" t="n"/>
      <c r="BC167" s="94" t="n"/>
    </row>
    <row r="168" ht="15.75" customHeight="1" s="163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BC168" s="94" t="n"/>
    </row>
    <row r="169" ht="15.75" customHeight="1" s="163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BC169" s="94" t="n"/>
    </row>
    <row r="170" ht="15.75" customHeight="1" s="163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O170" s="94" t="n"/>
      <c r="P170" s="94" t="n"/>
      <c r="Q170" s="94" t="n"/>
      <c r="R170" s="94" t="n"/>
      <c r="S170" s="94" t="n"/>
      <c r="T170" s="94" t="n"/>
      <c r="U170" s="94" t="n"/>
      <c r="V170" s="94" t="n"/>
      <c r="W170" s="94" t="n"/>
      <c r="X170" s="94" t="n"/>
      <c r="BC170" s="94" t="n"/>
    </row>
    <row r="171" ht="15.75" customHeight="1" s="163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BC171" s="94" t="n"/>
    </row>
    <row r="172" ht="15.75" customHeight="1" s="163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BC172" s="94" t="n"/>
    </row>
    <row r="173" ht="15.75" customHeight="1" s="163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O173" s="94" t="n"/>
      <c r="P173" s="94" t="n"/>
      <c r="Q173" s="94" t="n"/>
      <c r="R173" s="94" t="n"/>
      <c r="S173" s="94" t="n"/>
      <c r="T173" s="94" t="n"/>
      <c r="U173" s="94" t="n"/>
      <c r="V173" s="94" t="n"/>
      <c r="W173" s="94" t="n"/>
      <c r="X173" s="94" t="n"/>
      <c r="BC173" s="94" t="n"/>
    </row>
    <row r="174" ht="15.75" customHeight="1" s="163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BC174" s="94" t="n"/>
    </row>
    <row r="175" ht="15.75" customHeight="1" s="163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BC175" s="94" t="n"/>
    </row>
    <row r="176" ht="15.75" customHeight="1" s="163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O176" s="94" t="n"/>
      <c r="P176" s="94" t="n"/>
      <c r="Q176" s="94" t="n"/>
      <c r="R176" s="94" t="n"/>
      <c r="S176" s="94" t="n"/>
      <c r="T176" s="94" t="n"/>
      <c r="U176" s="94" t="n"/>
      <c r="V176" s="94" t="n"/>
      <c r="W176" s="94" t="n"/>
      <c r="X176" s="94" t="n"/>
      <c r="BC176" s="94" t="n"/>
    </row>
    <row r="177" ht="15.75" customHeight="1" s="163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O177" s="94" t="n"/>
      <c r="P177" s="94" t="n"/>
      <c r="Q177" s="94" t="n"/>
      <c r="R177" s="94" t="n"/>
      <c r="S177" s="94" t="n"/>
      <c r="T177" s="94" t="n"/>
      <c r="U177" s="94" t="n"/>
      <c r="V177" s="94" t="n"/>
      <c r="W177" s="94" t="n"/>
      <c r="X177" s="94" t="n"/>
      <c r="BC177" s="94" t="n"/>
    </row>
    <row r="178" ht="15.75" customHeight="1" s="163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O178" s="94" t="n"/>
      <c r="P178" s="94" t="n"/>
      <c r="Q178" s="94" t="n"/>
      <c r="R178" s="94" t="n"/>
      <c r="S178" s="94" t="n"/>
      <c r="T178" s="94" t="n"/>
      <c r="U178" s="94" t="n"/>
      <c r="V178" s="94" t="n"/>
      <c r="W178" s="94" t="n"/>
      <c r="X178" s="94" t="n"/>
      <c r="BC178" s="94" t="n"/>
    </row>
    <row r="179" ht="15.75" customHeight="1" s="163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O179" s="94" t="n"/>
      <c r="P179" s="94" t="n"/>
      <c r="Q179" s="94" t="n"/>
      <c r="R179" s="94" t="n"/>
      <c r="S179" s="94" t="n"/>
      <c r="T179" s="94" t="n"/>
      <c r="U179" s="94" t="n"/>
      <c r="V179" s="94" t="n"/>
      <c r="W179" s="94" t="n"/>
      <c r="X179" s="94" t="n"/>
      <c r="BC179" s="94" t="n"/>
    </row>
    <row r="180" ht="15.75" customHeight="1" s="163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BC180" s="94" t="n"/>
    </row>
    <row r="181" ht="15.75" customHeight="1" s="163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BC181" s="94" t="n"/>
    </row>
    <row r="182" ht="15.75" customHeight="1" s="163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O182" s="94" t="n"/>
      <c r="P182" s="94" t="n"/>
      <c r="Q182" s="94" t="n"/>
      <c r="R182" s="94" t="n"/>
      <c r="S182" s="94" t="n"/>
      <c r="T182" s="94" t="n"/>
      <c r="U182" s="94" t="n"/>
      <c r="V182" s="94" t="n"/>
      <c r="W182" s="94" t="n"/>
      <c r="X182" s="94" t="n"/>
      <c r="BC182" s="94" t="n"/>
    </row>
    <row r="183" ht="15.75" customHeight="1" s="163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BC183" s="94" t="n"/>
    </row>
    <row r="184" ht="15.75" customHeight="1" s="163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BC184" s="94" t="n"/>
    </row>
    <row r="185" ht="15.75" customHeight="1" s="163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O185" s="94" t="n"/>
      <c r="P185" s="94" t="n"/>
      <c r="Q185" s="94" t="n"/>
      <c r="R185" s="94" t="n"/>
      <c r="S185" s="94" t="n"/>
      <c r="T185" s="94" t="n"/>
      <c r="U185" s="94" t="n"/>
      <c r="V185" s="94" t="n"/>
      <c r="W185" s="94" t="n"/>
      <c r="X185" s="94" t="n"/>
      <c r="BC185" s="94" t="n"/>
    </row>
    <row r="186" ht="15.75" customHeight="1" s="163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BC186" s="94" t="n"/>
    </row>
    <row r="187" ht="15.75" customHeight="1" s="163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BC187" s="94" t="n"/>
    </row>
    <row r="188" ht="15.75" customHeight="1" s="163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O188" s="94" t="n"/>
      <c r="P188" s="94" t="n"/>
      <c r="Q188" s="94" t="n"/>
      <c r="R188" s="94" t="n"/>
      <c r="S188" s="94" t="n"/>
      <c r="T188" s="94" t="n"/>
      <c r="U188" s="94" t="n"/>
      <c r="V188" s="94" t="n"/>
      <c r="W188" s="94" t="n"/>
      <c r="X188" s="94" t="n"/>
      <c r="BC188" s="94" t="n"/>
    </row>
    <row r="189" ht="15.75" customHeight="1" s="163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BC189" s="94" t="n"/>
    </row>
    <row r="190" ht="15.75" customHeight="1" s="163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O190" s="94" t="n"/>
      <c r="P190" s="94" t="n"/>
      <c r="Q190" s="94" t="n"/>
      <c r="R190" s="94" t="n"/>
      <c r="S190" s="94" t="n"/>
      <c r="T190" s="94" t="n"/>
      <c r="U190" s="94" t="n"/>
      <c r="V190" s="94" t="n"/>
      <c r="W190" s="94" t="n"/>
      <c r="X190" s="94" t="n"/>
      <c r="BC190" s="94" t="n"/>
    </row>
    <row r="191" ht="15.75" customHeight="1" s="163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O191" s="94" t="n"/>
      <c r="P191" s="94" t="n"/>
      <c r="Q191" s="94" t="n"/>
      <c r="R191" s="94" t="n"/>
      <c r="S191" s="94" t="n"/>
      <c r="T191" s="94" t="n"/>
      <c r="U191" s="94" t="n"/>
      <c r="V191" s="94" t="n"/>
      <c r="W191" s="94" t="n"/>
      <c r="X191" s="94" t="n"/>
      <c r="BC191" s="94" t="n"/>
    </row>
    <row r="192" ht="15.75" customHeight="1" s="163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BC192" s="94" t="n"/>
    </row>
    <row r="193" ht="15.75" customHeight="1" s="163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O193" s="94" t="n"/>
      <c r="P193" s="94" t="n"/>
      <c r="Q193" s="94" t="n"/>
      <c r="R193" s="94" t="n"/>
      <c r="S193" s="94" t="n"/>
      <c r="T193" s="94" t="n"/>
      <c r="U193" s="94" t="n"/>
      <c r="V193" s="94" t="n"/>
      <c r="W193" s="94" t="n"/>
      <c r="X193" s="94" t="n"/>
      <c r="BC193" s="94" t="n"/>
    </row>
    <row r="194" ht="15.75" customHeight="1" s="163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O194" s="94" t="n"/>
      <c r="P194" s="94" t="n"/>
      <c r="Q194" s="94" t="n"/>
      <c r="R194" s="94" t="n"/>
      <c r="S194" s="94" t="n"/>
      <c r="T194" s="94" t="n"/>
      <c r="U194" s="94" t="n"/>
      <c r="V194" s="94" t="n"/>
      <c r="W194" s="94" t="n"/>
      <c r="X194" s="94" t="n"/>
      <c r="BC194" s="94" t="n"/>
    </row>
    <row r="195" ht="15.75" customHeight="1" s="163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BC195" s="94" t="n"/>
    </row>
    <row r="196" ht="15.75" customHeight="1" s="163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BC196" s="94" t="n"/>
    </row>
    <row r="197" ht="15.75" customHeight="1" s="163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O197" s="94" t="n"/>
      <c r="P197" s="94" t="n"/>
      <c r="Q197" s="94" t="n"/>
      <c r="R197" s="94" t="n"/>
      <c r="S197" s="94" t="n"/>
      <c r="T197" s="94" t="n"/>
      <c r="U197" s="94" t="n"/>
      <c r="V197" s="94" t="n"/>
      <c r="W197" s="94" t="n"/>
      <c r="X197" s="94" t="n"/>
      <c r="BC197" s="94" t="n"/>
    </row>
    <row r="198" ht="15.75" customHeight="1" s="163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BC198" s="94" t="n"/>
    </row>
    <row r="199" ht="15.75" customHeight="1" s="163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BC199" s="94" t="n"/>
    </row>
    <row r="200" ht="15.75" customHeight="1" s="163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O200" s="94" t="n"/>
      <c r="P200" s="94" t="n"/>
      <c r="Q200" s="94" t="n"/>
      <c r="R200" s="94" t="n"/>
      <c r="S200" s="94" t="n"/>
      <c r="T200" s="94" t="n"/>
      <c r="U200" s="94" t="n"/>
      <c r="V200" s="94" t="n"/>
      <c r="W200" s="94" t="n"/>
      <c r="X200" s="94" t="n"/>
      <c r="BC200" s="94" t="n"/>
    </row>
    <row r="201" ht="15.75" customHeight="1" s="163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BC201" s="94" t="n"/>
    </row>
    <row r="202" ht="15.75" customHeight="1" s="163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O202" s="94" t="n"/>
      <c r="P202" s="94" t="n"/>
      <c r="Q202" s="94" t="n"/>
      <c r="R202" s="94" t="n"/>
      <c r="S202" s="94" t="n"/>
      <c r="T202" s="94" t="n"/>
      <c r="U202" s="94" t="n"/>
      <c r="V202" s="94" t="n"/>
      <c r="W202" s="94" t="n"/>
      <c r="X202" s="94" t="n"/>
      <c r="BC202" s="94" t="n"/>
    </row>
    <row r="203" ht="15.75" customHeight="1" s="163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O203" s="94" t="n"/>
      <c r="P203" s="94" t="n"/>
      <c r="Q203" s="94" t="n"/>
      <c r="R203" s="94" t="n"/>
      <c r="S203" s="94" t="n"/>
      <c r="T203" s="94" t="n"/>
      <c r="U203" s="94" t="n"/>
      <c r="V203" s="94" t="n"/>
      <c r="W203" s="94" t="n"/>
      <c r="X203" s="94" t="n"/>
      <c r="BC203" s="94" t="n"/>
    </row>
    <row r="204" ht="15.75" customHeight="1" s="163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BC204" s="94" t="n"/>
    </row>
    <row r="205" ht="15.75" customHeight="1" s="163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BC205" s="94" t="n"/>
    </row>
    <row r="206" ht="15.75" customHeight="1" s="163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O206" s="94" t="n"/>
      <c r="P206" s="94" t="n"/>
      <c r="Q206" s="94" t="n"/>
      <c r="R206" s="94" t="n"/>
      <c r="S206" s="94" t="n"/>
      <c r="T206" s="94" t="n"/>
      <c r="U206" s="94" t="n"/>
      <c r="V206" s="94" t="n"/>
      <c r="W206" s="94" t="n"/>
      <c r="X206" s="94" t="n"/>
      <c r="BC206" s="94" t="n"/>
    </row>
    <row r="207" ht="15.75" customHeight="1" s="163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BC207" s="94" t="n"/>
    </row>
    <row r="208" ht="15.75" customHeight="1" s="163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O208" s="94" t="n"/>
      <c r="P208" s="94" t="n"/>
      <c r="Q208" s="94" t="n"/>
      <c r="R208" s="94" t="n"/>
      <c r="S208" s="94" t="n"/>
      <c r="T208" s="94" t="n"/>
      <c r="U208" s="94" t="n"/>
      <c r="V208" s="94" t="n"/>
      <c r="W208" s="94" t="n"/>
      <c r="X208" s="94" t="n"/>
      <c r="BC208" s="94" t="n"/>
    </row>
    <row r="209" ht="15.75" customHeight="1" s="163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O209" s="94" t="n"/>
      <c r="P209" s="94" t="n"/>
      <c r="Q209" s="94" t="n"/>
      <c r="R209" s="94" t="n"/>
      <c r="S209" s="94" t="n"/>
      <c r="T209" s="94" t="n"/>
      <c r="U209" s="94" t="n"/>
      <c r="V209" s="94" t="n"/>
      <c r="W209" s="94" t="n"/>
      <c r="X209" s="94" t="n"/>
      <c r="BC209" s="94" t="n"/>
    </row>
    <row r="210" ht="15.75" customHeight="1" s="163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BC210" s="94" t="n"/>
    </row>
    <row r="211" ht="15.75" customHeight="1" s="163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</row>
    <row r="212" ht="15.75" customHeight="1" s="163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O212" s="94" t="n"/>
      <c r="P212" s="94" t="n"/>
      <c r="Q212" s="94" t="n"/>
      <c r="R212" s="94" t="n"/>
      <c r="S212" s="94" t="n"/>
      <c r="T212" s="94" t="n"/>
      <c r="U212" s="94" t="n"/>
      <c r="V212" s="94" t="n"/>
      <c r="W212" s="94" t="n"/>
      <c r="X212" s="94" t="n"/>
    </row>
    <row r="213" ht="15.75" customHeight="1" s="163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</row>
    <row r="214" ht="15.75" customHeight="1" s="163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</row>
    <row r="215" ht="15.75" customHeight="1" s="163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O215" s="94" t="n"/>
      <c r="P215" s="94" t="n"/>
      <c r="Q215" s="94" t="n"/>
      <c r="R215" s="94" t="n"/>
      <c r="S215" s="94" t="n"/>
      <c r="T215" s="94" t="n"/>
      <c r="U215" s="94" t="n"/>
      <c r="V215" s="94" t="n"/>
      <c r="W215" s="94" t="n"/>
      <c r="X215" s="94" t="n"/>
    </row>
    <row r="216" ht="15.75" customHeight="1" s="163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</row>
    <row r="217" ht="15.75" customHeight="1" s="163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</row>
    <row r="218" ht="15.75" customHeight="1" s="163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  <c r="O218" s="94" t="n"/>
      <c r="P218" s="94" t="n"/>
      <c r="Q218" s="94" t="n"/>
      <c r="R218" s="94" t="n"/>
      <c r="S218" s="94" t="n"/>
      <c r="T218" s="94" t="n"/>
      <c r="U218" s="94" t="n"/>
      <c r="V218" s="94" t="n"/>
      <c r="W218" s="94" t="n"/>
      <c r="X218" s="94" t="n"/>
    </row>
    <row r="219" ht="15.75" customHeight="1" s="163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  <c r="O219" s="94" t="n"/>
      <c r="P219" s="94" t="n"/>
      <c r="Q219" s="94" t="n"/>
      <c r="R219" s="94" t="n"/>
      <c r="S219" s="94" t="n"/>
      <c r="T219" s="94" t="n"/>
      <c r="U219" s="94" t="n"/>
      <c r="V219" s="94" t="n"/>
      <c r="W219" s="94" t="n"/>
      <c r="X219" s="94" t="n"/>
    </row>
    <row r="220" ht="15.75" customHeight="1" s="163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  <c r="O220" s="94" t="n"/>
      <c r="P220" s="94" t="n"/>
      <c r="Q220" s="94" t="n"/>
      <c r="R220" s="94" t="n"/>
      <c r="S220" s="94" t="n"/>
      <c r="T220" s="94" t="n"/>
      <c r="U220" s="94" t="n"/>
      <c r="V220" s="94" t="n"/>
      <c r="W220" s="94" t="n"/>
      <c r="X220" s="94" t="n"/>
    </row>
    <row r="221" ht="15.75" customHeight="1" s="163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  <c r="O221" s="94" t="n"/>
      <c r="P221" s="94" t="n"/>
      <c r="Q221" s="94" t="n"/>
      <c r="R221" s="94" t="n"/>
      <c r="S221" s="94" t="n"/>
      <c r="T221" s="94" t="n"/>
      <c r="U221" s="94" t="n"/>
      <c r="V221" s="94" t="n"/>
      <c r="W221" s="94" t="n"/>
      <c r="X221" s="94" t="n"/>
    </row>
    <row r="222" ht="15.75" customHeight="1" s="163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  <c r="O222" s="94" t="n"/>
      <c r="P222" s="94" t="n"/>
      <c r="Q222" s="94" t="n"/>
      <c r="R222" s="94" t="n"/>
      <c r="S222" s="94" t="n"/>
      <c r="T222" s="94" t="n"/>
      <c r="U222" s="94" t="n"/>
      <c r="V222" s="94" t="n"/>
      <c r="W222" s="94" t="n"/>
      <c r="X222" s="94" t="n"/>
    </row>
    <row r="223" ht="15.75" customHeight="1" s="16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  <c r="O223" s="94" t="n"/>
      <c r="P223" s="94" t="n"/>
      <c r="Q223" s="94" t="n"/>
      <c r="R223" s="94" t="n"/>
      <c r="S223" s="94" t="n"/>
      <c r="T223" s="94" t="n"/>
      <c r="U223" s="94" t="n"/>
      <c r="V223" s="94" t="n"/>
      <c r="W223" s="94" t="n"/>
      <c r="X223" s="94" t="n"/>
    </row>
    <row r="224" ht="15.75" customHeight="1" s="163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  <c r="O224" s="94" t="n"/>
      <c r="P224" s="94" t="n"/>
      <c r="Q224" s="94" t="n"/>
      <c r="R224" s="94" t="n"/>
      <c r="S224" s="94" t="n"/>
      <c r="T224" s="94" t="n"/>
      <c r="U224" s="94" t="n"/>
      <c r="V224" s="94" t="n"/>
      <c r="W224" s="94" t="n"/>
      <c r="X224" s="94" t="n"/>
    </row>
    <row r="225" ht="15.75" customHeight="1" s="163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</row>
    <row r="226" ht="15.75" customHeight="1" s="163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</row>
    <row r="227" ht="15.75" customHeight="1" s="163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  <c r="O227" s="94" t="n"/>
      <c r="P227" s="94" t="n"/>
      <c r="Q227" s="94" t="n"/>
      <c r="R227" s="94" t="n"/>
      <c r="S227" s="94" t="n"/>
      <c r="T227" s="94" t="n"/>
      <c r="U227" s="94" t="n"/>
      <c r="V227" s="94" t="n"/>
      <c r="W227" s="94" t="n"/>
      <c r="X227" s="94" t="n"/>
    </row>
    <row r="228" ht="15.75" customHeight="1" s="163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</row>
    <row r="229" ht="15.75" customHeight="1" s="163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  <c r="V229" s="94" t="n"/>
      <c r="W229" s="94" t="n"/>
      <c r="X229" s="94" t="n"/>
    </row>
    <row r="230" ht="15.75" customHeight="1" s="163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  <c r="O230" s="94" t="n"/>
      <c r="P230" s="94" t="n"/>
      <c r="Q230" s="94" t="n"/>
      <c r="R230" s="94" t="n"/>
      <c r="S230" s="94" t="n"/>
      <c r="T230" s="94" t="n"/>
      <c r="U230" s="94" t="n"/>
      <c r="V230" s="94" t="n"/>
      <c r="W230" s="94" t="n"/>
      <c r="X230" s="94" t="n"/>
    </row>
    <row r="231" ht="15.75" customHeight="1" s="163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  <c r="O231" s="94" t="n"/>
      <c r="P231" s="94" t="n"/>
      <c r="Q231" s="94" t="n"/>
      <c r="R231" s="94" t="n"/>
      <c r="S231" s="94" t="n"/>
      <c r="T231" s="94" t="n"/>
      <c r="U231" s="94" t="n"/>
      <c r="V231" s="94" t="n"/>
      <c r="W231" s="94" t="n"/>
      <c r="X231" s="94" t="n"/>
    </row>
    <row r="232" ht="15.75" customHeight="1" s="163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  <c r="O232" s="94" t="n"/>
      <c r="P232" s="94" t="n"/>
      <c r="Q232" s="94" t="n"/>
      <c r="R232" s="94" t="n"/>
      <c r="S232" s="94" t="n"/>
      <c r="T232" s="94" t="n"/>
      <c r="U232" s="94" t="n"/>
      <c r="V232" s="94" t="n"/>
      <c r="W232" s="94" t="n"/>
      <c r="X232" s="94" t="n"/>
    </row>
    <row r="233" ht="15.75" customHeight="1" s="16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  <c r="O233" s="94" t="n"/>
      <c r="P233" s="94" t="n"/>
      <c r="Q233" s="94" t="n"/>
      <c r="R233" s="94" t="n"/>
      <c r="S233" s="94" t="n"/>
      <c r="T233" s="94" t="n"/>
      <c r="U233" s="94" t="n"/>
      <c r="V233" s="94" t="n"/>
      <c r="W233" s="94" t="n"/>
      <c r="X233" s="94" t="n"/>
    </row>
    <row r="234" ht="15.75" customHeight="1" s="163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</row>
    <row r="235" ht="15.75" customHeight="1" s="163">
      <c r="A235" s="97" t="n"/>
      <c r="B235" s="97" t="n"/>
      <c r="C235" s="97" t="n"/>
      <c r="D235" s="97" t="n"/>
      <c r="E235" s="97" t="n"/>
      <c r="F235" s="97" t="n"/>
    </row>
    <row r="236" ht="15.75" customHeight="1" s="163">
      <c r="A236" s="97" t="n"/>
      <c r="B236" s="97" t="n"/>
      <c r="C236" s="97" t="n"/>
      <c r="D236" s="97" t="n"/>
      <c r="E236" s="97" t="n"/>
      <c r="F236" s="97" t="n"/>
    </row>
    <row r="237" ht="15.75" customHeight="1" s="163">
      <c r="A237" s="97" t="n"/>
      <c r="B237" s="97" t="n"/>
      <c r="C237" s="97" t="n"/>
      <c r="D237" s="97" t="n"/>
      <c r="E237" s="97" t="n"/>
      <c r="F237" s="97" t="n"/>
    </row>
    <row r="238" ht="15.75" customHeight="1" s="163">
      <c r="A238" s="97" t="n"/>
      <c r="B238" s="97" t="n"/>
      <c r="C238" s="97" t="n"/>
      <c r="D238" s="97" t="n"/>
      <c r="E238" s="97" t="n"/>
      <c r="F238" s="97" t="n"/>
    </row>
    <row r="239" ht="15.75" customHeight="1" s="163">
      <c r="A239" s="97" t="n"/>
      <c r="B239" s="97" t="n"/>
      <c r="C239" s="97" t="n"/>
      <c r="D239" s="97" t="n"/>
      <c r="E239" s="97" t="n"/>
      <c r="F239" s="97" t="n"/>
    </row>
    <row r="240" ht="15.75" customHeight="1" s="163">
      <c r="A240" s="97" t="n"/>
      <c r="B240" s="97" t="n"/>
      <c r="C240" s="97" t="n"/>
      <c r="D240" s="97" t="n"/>
      <c r="E240" s="97" t="n"/>
      <c r="F240" s="97" t="n"/>
    </row>
    <row r="241" ht="15.75" customHeight="1" s="163">
      <c r="A241" s="97" t="n"/>
      <c r="B241" s="97" t="n"/>
      <c r="C241" s="97" t="n"/>
      <c r="D241" s="97" t="n"/>
      <c r="E241" s="97" t="n"/>
      <c r="F241" s="97" t="n"/>
    </row>
    <row r="242" ht="15.75" customHeight="1" s="163">
      <c r="A242" s="97" t="n"/>
      <c r="B242" s="97" t="n"/>
      <c r="C242" s="97" t="n"/>
      <c r="D242" s="97" t="n"/>
      <c r="E242" s="97" t="n"/>
      <c r="F242" s="97" t="n"/>
    </row>
    <row r="243" ht="15.75" customHeight="1" s="163">
      <c r="A243" s="97" t="n"/>
      <c r="B243" s="97" t="n"/>
      <c r="C243" s="97" t="n"/>
      <c r="D243" s="97" t="n"/>
      <c r="E243" s="97" t="n"/>
      <c r="F243" s="97" t="n"/>
    </row>
    <row r="244" ht="15.75" customHeight="1" s="163">
      <c r="A244" s="97" t="n"/>
      <c r="B244" s="97" t="n"/>
      <c r="C244" s="97" t="n"/>
      <c r="D244" s="97" t="n"/>
      <c r="E244" s="97" t="n"/>
      <c r="F244" s="97" t="n"/>
    </row>
    <row r="245" ht="15.75" customHeight="1" s="163">
      <c r="A245" s="97" t="n"/>
      <c r="B245" s="97" t="n"/>
      <c r="C245" s="97" t="n"/>
      <c r="D245" s="97" t="n"/>
      <c r="E245" s="97" t="n"/>
      <c r="F245" s="97" t="n"/>
    </row>
    <row r="246" ht="15.75" customHeight="1" s="163">
      <c r="A246" s="97" t="n"/>
      <c r="B246" s="97" t="n"/>
      <c r="C246" s="97" t="n"/>
      <c r="D246" s="97" t="n"/>
      <c r="E246" s="97" t="n"/>
      <c r="F246" s="97" t="n"/>
    </row>
    <row r="247" ht="15.75" customHeight="1" s="163">
      <c r="A247" s="97" t="n"/>
      <c r="B247" s="97" t="n"/>
      <c r="C247" s="97" t="n"/>
      <c r="D247" s="97" t="n"/>
      <c r="E247" s="97" t="n"/>
      <c r="F247" s="97" t="n"/>
    </row>
    <row r="248" ht="15.75" customHeight="1" s="163">
      <c r="A248" s="97" t="n"/>
      <c r="B248" s="97" t="n"/>
      <c r="C248" s="97" t="n"/>
      <c r="D248" s="97" t="n"/>
      <c r="E248" s="97" t="n"/>
      <c r="F248" s="97" t="n"/>
    </row>
    <row r="249" ht="15.75" customHeight="1" s="163">
      <c r="A249" s="97" t="n"/>
      <c r="B249" s="97" t="n"/>
      <c r="C249" s="97" t="n"/>
      <c r="D249" s="97" t="n"/>
      <c r="E249" s="97" t="n"/>
      <c r="F249" s="97" t="n"/>
    </row>
    <row r="250" ht="15.75" customHeight="1" s="163">
      <c r="A250" s="97" t="n"/>
      <c r="B250" s="97" t="n"/>
      <c r="C250" s="97" t="n"/>
      <c r="D250" s="97" t="n"/>
      <c r="E250" s="97" t="n"/>
      <c r="F250" s="97" t="n"/>
    </row>
    <row r="251" ht="15.75" customHeight="1" s="163">
      <c r="A251" s="97" t="n"/>
      <c r="B251" s="97" t="n"/>
      <c r="C251" s="97" t="n"/>
      <c r="D251" s="97" t="n"/>
      <c r="E251" s="97" t="n"/>
      <c r="F251" s="97" t="n"/>
    </row>
    <row r="252" ht="15.75" customHeight="1" s="163">
      <c r="A252" s="97" t="n"/>
      <c r="B252" s="97" t="n"/>
      <c r="C252" s="97" t="n"/>
      <c r="D252" s="97" t="n"/>
      <c r="E252" s="97" t="n"/>
      <c r="F252" s="97" t="n"/>
    </row>
    <row r="253" ht="15.75" customHeight="1" s="163">
      <c r="A253" s="97" t="n"/>
      <c r="B253" s="97" t="n"/>
      <c r="C253" s="97" t="n"/>
      <c r="D253" s="97" t="n"/>
      <c r="E253" s="97" t="n"/>
      <c r="F253" s="97" t="n"/>
    </row>
    <row r="254" ht="15.75" customHeight="1" s="163">
      <c r="A254" s="97" t="n"/>
      <c r="B254" s="97" t="n"/>
      <c r="C254" s="97" t="n"/>
      <c r="D254" s="97" t="n"/>
      <c r="E254" s="97" t="n"/>
      <c r="F254" s="97" t="n"/>
    </row>
    <row r="255" ht="15.75" customHeight="1" s="163">
      <c r="A255" s="97" t="n"/>
      <c r="B255" s="97" t="n"/>
      <c r="C255" s="97" t="n"/>
      <c r="D255" s="97" t="n"/>
      <c r="E255" s="97" t="n"/>
      <c r="F255" s="97" t="n"/>
    </row>
    <row r="256" ht="15.75" customHeight="1" s="163">
      <c r="A256" s="97" t="n"/>
      <c r="B256" s="97" t="n"/>
      <c r="C256" s="97" t="n"/>
      <c r="D256" s="97" t="n"/>
      <c r="E256" s="97" t="n"/>
      <c r="F256" s="97" t="n"/>
    </row>
    <row r="257" ht="15.75" customHeight="1" s="163">
      <c r="A257" s="97" t="n"/>
      <c r="B257" s="97" t="n"/>
      <c r="C257" s="97" t="n"/>
      <c r="D257" s="97" t="n"/>
      <c r="E257" s="97" t="n"/>
      <c r="F257" s="97" t="n"/>
    </row>
    <row r="258" ht="15.75" customHeight="1" s="163">
      <c r="A258" s="97" t="n"/>
      <c r="B258" s="97" t="n"/>
      <c r="C258" s="97" t="n"/>
      <c r="D258" s="97" t="n"/>
      <c r="E258" s="97" t="n"/>
      <c r="F258" s="97" t="n"/>
    </row>
    <row r="259" ht="15.75" customHeight="1" s="163">
      <c r="A259" s="97" t="n"/>
      <c r="B259" s="97" t="n"/>
      <c r="C259" s="97" t="n"/>
      <c r="D259" s="97" t="n"/>
      <c r="E259" s="97" t="n"/>
      <c r="F259" s="97" t="n"/>
    </row>
    <row r="260" ht="15.75" customHeight="1" s="163">
      <c r="A260" s="97" t="n"/>
      <c r="B260" s="97" t="n"/>
      <c r="C260" s="97" t="n"/>
      <c r="D260" s="97" t="n"/>
      <c r="E260" s="97" t="n"/>
      <c r="F260" s="97" t="n"/>
    </row>
    <row r="261" ht="15.75" customHeight="1" s="163">
      <c r="A261" s="97" t="n"/>
      <c r="B261" s="97" t="n"/>
      <c r="C261" s="97" t="n"/>
      <c r="D261" s="97" t="n"/>
      <c r="E261" s="97" t="n"/>
      <c r="F261" s="97" t="n"/>
    </row>
    <row r="262" ht="15.75" customHeight="1" s="163">
      <c r="A262" s="97" t="n"/>
      <c r="B262" s="97" t="n"/>
      <c r="C262" s="97" t="n"/>
      <c r="D262" s="97" t="n"/>
      <c r="E262" s="97" t="n"/>
      <c r="F262" s="97" t="n"/>
    </row>
    <row r="263" ht="15.75" customHeight="1" s="163">
      <c r="A263" s="97" t="n"/>
      <c r="B263" s="97" t="n"/>
      <c r="C263" s="97" t="n"/>
      <c r="D263" s="97" t="n"/>
      <c r="E263" s="97" t="n"/>
      <c r="F263" s="97" t="n"/>
    </row>
    <row r="264" ht="15.75" customHeight="1" s="163">
      <c r="A264" s="97" t="n"/>
      <c r="B264" s="97" t="n"/>
      <c r="C264" s="97" t="n"/>
      <c r="D264" s="97" t="n"/>
      <c r="E264" s="97" t="n"/>
      <c r="F264" s="97" t="n"/>
    </row>
    <row r="265" ht="15.75" customHeight="1" s="163">
      <c r="A265" s="97" t="n"/>
      <c r="B265" s="97" t="n"/>
      <c r="C265" s="97" t="n"/>
      <c r="D265" s="97" t="n"/>
      <c r="E265" s="97" t="n"/>
      <c r="F265" s="97" t="n"/>
    </row>
    <row r="266" ht="15.75" customHeight="1" s="163">
      <c r="A266" s="97" t="n"/>
      <c r="B266" s="97" t="n"/>
      <c r="C266" s="97" t="n"/>
      <c r="D266" s="97" t="n"/>
      <c r="E266" s="97" t="n"/>
      <c r="F266" s="97" t="n"/>
    </row>
    <row r="267" ht="15.75" customHeight="1" s="163">
      <c r="A267" s="97" t="n"/>
      <c r="B267" s="97" t="n"/>
      <c r="C267" s="97" t="n"/>
      <c r="D267" s="97" t="n"/>
      <c r="E267" s="97" t="n"/>
      <c r="F267" s="97" t="n"/>
    </row>
    <row r="268" ht="15.75" customHeight="1" s="163">
      <c r="A268" s="97" t="n"/>
      <c r="B268" s="97" t="n"/>
      <c r="C268" s="97" t="n"/>
      <c r="D268" s="97" t="n"/>
      <c r="E268" s="97" t="n"/>
      <c r="F268" s="97" t="n"/>
    </row>
    <row r="269" ht="15.75" customHeight="1" s="163">
      <c r="A269" s="97" t="n"/>
      <c r="B269" s="97" t="n"/>
      <c r="C269" s="97" t="n"/>
      <c r="D269" s="97" t="n"/>
      <c r="E269" s="97" t="n"/>
      <c r="F269" s="97" t="n"/>
    </row>
    <row r="270" ht="15.75" customHeight="1" s="163">
      <c r="A270" s="97" t="n"/>
      <c r="B270" s="97" t="n"/>
      <c r="C270" s="97" t="n"/>
      <c r="D270" s="97" t="n"/>
      <c r="E270" s="97" t="n"/>
      <c r="F270" s="97" t="n"/>
    </row>
    <row r="271" ht="15.75" customHeight="1" s="163">
      <c r="A271" s="97" t="n"/>
      <c r="B271" s="97" t="n"/>
      <c r="C271" s="97" t="n"/>
      <c r="D271" s="97" t="n"/>
      <c r="E271" s="97" t="n"/>
      <c r="F271" s="97" t="n"/>
    </row>
    <row r="272" ht="15.75" customHeight="1" s="163">
      <c r="A272" s="97" t="n"/>
      <c r="B272" s="97" t="n"/>
      <c r="C272" s="97" t="n"/>
      <c r="D272" s="97" t="n"/>
      <c r="E272" s="97" t="n"/>
      <c r="F272" s="97" t="n"/>
    </row>
    <row r="273" ht="15.75" customHeight="1" s="163">
      <c r="A273" s="97" t="n"/>
      <c r="B273" s="97" t="n"/>
      <c r="C273" s="97" t="n"/>
      <c r="D273" s="97" t="n"/>
      <c r="E273" s="97" t="n"/>
      <c r="F273" s="97" t="n"/>
    </row>
    <row r="274" ht="15.75" customHeight="1" s="163">
      <c r="A274" s="97" t="n"/>
      <c r="B274" s="97" t="n"/>
      <c r="C274" s="97" t="n"/>
      <c r="D274" s="97" t="n"/>
      <c r="E274" s="97" t="n"/>
      <c r="F274" s="97" t="n"/>
    </row>
    <row r="275" ht="15.75" customHeight="1" s="163">
      <c r="A275" s="97" t="n"/>
      <c r="B275" s="97" t="n"/>
      <c r="C275" s="97" t="n"/>
      <c r="D275" s="97" t="n"/>
      <c r="E275" s="97" t="n"/>
      <c r="F275" s="97" t="n"/>
    </row>
    <row r="276" ht="15.75" customHeight="1" s="163">
      <c r="A276" s="97" t="n"/>
      <c r="B276" s="97" t="n"/>
      <c r="C276" s="97" t="n"/>
      <c r="D276" s="97" t="n"/>
      <c r="E276" s="97" t="n"/>
      <c r="F276" s="97" t="n"/>
    </row>
    <row r="277" ht="15.75" customHeight="1" s="163">
      <c r="A277" s="97" t="n"/>
      <c r="B277" s="97" t="n"/>
      <c r="C277" s="97" t="n"/>
      <c r="D277" s="97" t="n"/>
      <c r="E277" s="97" t="n"/>
      <c r="F277" s="97" t="n"/>
    </row>
    <row r="278" ht="15.75" customHeight="1" s="163">
      <c r="A278" s="97" t="n"/>
      <c r="B278" s="97" t="n"/>
      <c r="C278" s="97" t="n"/>
      <c r="D278" s="97" t="n"/>
      <c r="E278" s="97" t="n"/>
      <c r="F278" s="97" t="n"/>
    </row>
    <row r="279" ht="15.75" customHeight="1" s="163">
      <c r="A279" s="97" t="n"/>
      <c r="B279" s="97" t="n"/>
      <c r="C279" s="97" t="n"/>
      <c r="D279" s="97" t="n"/>
      <c r="E279" s="97" t="n"/>
      <c r="F279" s="97" t="n"/>
    </row>
    <row r="280" ht="15.75" customHeight="1" s="163">
      <c r="A280" s="97" t="n"/>
      <c r="B280" s="97" t="n"/>
      <c r="C280" s="97" t="n"/>
      <c r="D280" s="97" t="n"/>
      <c r="E280" s="97" t="n"/>
      <c r="F280" s="97" t="n"/>
    </row>
    <row r="281" ht="15.75" customHeight="1" s="163">
      <c r="A281" s="97" t="n"/>
      <c r="B281" s="97" t="n"/>
      <c r="C281" s="97" t="n"/>
      <c r="D281" s="97" t="n"/>
      <c r="E281" s="97" t="n"/>
      <c r="F281" s="97" t="n"/>
    </row>
    <row r="282" ht="15.75" customHeight="1" s="163">
      <c r="A282" s="97" t="n"/>
      <c r="B282" s="97" t="n"/>
      <c r="C282" s="97" t="n"/>
      <c r="D282" s="97" t="n"/>
      <c r="E282" s="97" t="n"/>
      <c r="F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</row>
  </sheetData>
  <mergeCells count="791">
    <mergeCell ref="AI15:AI16"/>
    <mergeCell ref="N22:N23"/>
    <mergeCell ref="W87:W88"/>
    <mergeCell ref="AJ43:AJ44"/>
    <mergeCell ref="P22:P23"/>
    <mergeCell ref="A10:B18"/>
    <mergeCell ref="P34:P35"/>
    <mergeCell ref="T78:T79"/>
    <mergeCell ref="AL36:AL37"/>
    <mergeCell ref="T50:T51"/>
    <mergeCell ref="AZ20:AZ21"/>
    <mergeCell ref="AN36:AN37"/>
    <mergeCell ref="BB20:BB21"/>
    <mergeCell ref="AT20:AT21"/>
    <mergeCell ref="Z50:Z53"/>
    <mergeCell ref="AI27:AI28"/>
    <mergeCell ref="T80:T81"/>
    <mergeCell ref="AE48:AE49"/>
    <mergeCell ref="T92:T93"/>
    <mergeCell ref="AG48:AG49"/>
    <mergeCell ref="AT62:AT63"/>
    <mergeCell ref="BB22:BB23"/>
    <mergeCell ref="AF59:AF60"/>
    <mergeCell ref="T73:T74"/>
    <mergeCell ref="AH59:AH60"/>
    <mergeCell ref="S34:S35"/>
    <mergeCell ref="AI41:AI42"/>
    <mergeCell ref="AK41:AK42"/>
    <mergeCell ref="N48:N49"/>
    <mergeCell ref="C13:C21"/>
    <mergeCell ref="O85:O86"/>
    <mergeCell ref="P48:P49"/>
    <mergeCell ref="AR64:AR65"/>
    <mergeCell ref="AK22:AK23"/>
    <mergeCell ref="AG43:AG44"/>
    <mergeCell ref="B37:C39"/>
    <mergeCell ref="AK34:AK35"/>
    <mergeCell ref="AI43:AI44"/>
    <mergeCell ref="X85:X86"/>
    <mergeCell ref="AU50:AU51"/>
    <mergeCell ref="AM50:AM51"/>
    <mergeCell ref="J71:J72"/>
    <mergeCell ref="V22:V23"/>
    <mergeCell ref="U29:U30"/>
    <mergeCell ref="AO50:AO51"/>
    <mergeCell ref="AZ48:AZ49"/>
    <mergeCell ref="AF27:AF28"/>
    <mergeCell ref="AU52:AU53"/>
    <mergeCell ref="AT13:AT14"/>
    <mergeCell ref="BB48:BB49"/>
    <mergeCell ref="J73:J74"/>
    <mergeCell ref="AN34:AN35"/>
    <mergeCell ref="Z80:Z81"/>
    <mergeCell ref="Y87:Y88"/>
    <mergeCell ref="AO27:AO28"/>
    <mergeCell ref="AE59:AE60"/>
    <mergeCell ref="AG59:AG60"/>
    <mergeCell ref="AI59:AI60"/>
    <mergeCell ref="N66:N67"/>
    <mergeCell ref="AQ20:AQ21"/>
    <mergeCell ref="AA34:AA35"/>
    <mergeCell ref="N41:N42"/>
    <mergeCell ref="AR57:AR58"/>
    <mergeCell ref="BB43:BB44"/>
    <mergeCell ref="W64:W65"/>
    <mergeCell ref="Y64:Y65"/>
    <mergeCell ref="AC15:AC16"/>
    <mergeCell ref="AQ22:AQ23"/>
    <mergeCell ref="N43:N44"/>
    <mergeCell ref="AA57:AA58"/>
    <mergeCell ref="V27:V28"/>
    <mergeCell ref="AC29:AC30"/>
    <mergeCell ref="P36:P37"/>
    <mergeCell ref="X20:X21"/>
    <mergeCell ref="Z20:Z21"/>
    <mergeCell ref="M27:M28"/>
    <mergeCell ref="AZ59:AZ60"/>
    <mergeCell ref="BB59:BB60"/>
    <mergeCell ref="Y13:Y16"/>
    <mergeCell ref="BB34:BB35"/>
    <mergeCell ref="AT34:AT35"/>
    <mergeCell ref="X22:X23"/>
    <mergeCell ref="AV34:AV35"/>
    <mergeCell ref="AB13:AB14"/>
    <mergeCell ref="M66:M67"/>
    <mergeCell ref="Z78:Z79"/>
    <mergeCell ref="T94:T95"/>
    <mergeCell ref="AT64:AT65"/>
    <mergeCell ref="M41:M42"/>
    <mergeCell ref="BB36:BB37"/>
    <mergeCell ref="AT36:AT37"/>
    <mergeCell ref="D12:H12"/>
    <mergeCell ref="O57:O58"/>
    <mergeCell ref="AV36:AV37"/>
    <mergeCell ref="AB15:AB16"/>
    <mergeCell ref="AQ27:AQ28"/>
    <mergeCell ref="M43:M44"/>
    <mergeCell ref="S50:S51"/>
    <mergeCell ref="AI34:AI35"/>
    <mergeCell ref="U50:U51"/>
    <mergeCell ref="AS20:AS21"/>
    <mergeCell ref="AU20:AU21"/>
    <mergeCell ref="P41:P42"/>
    <mergeCell ref="AD48:AD49"/>
    <mergeCell ref="AF48:AF49"/>
    <mergeCell ref="BA57:BA58"/>
    <mergeCell ref="S52:S53"/>
    <mergeCell ref="BA22:BA23"/>
    <mergeCell ref="AS22:AS23"/>
    <mergeCell ref="S27:S28"/>
    <mergeCell ref="AK29:AK30"/>
    <mergeCell ref="AJ57:AJ58"/>
    <mergeCell ref="T71:T72"/>
    <mergeCell ref="AL57:AL58"/>
    <mergeCell ref="AT29:AT30"/>
    <mergeCell ref="AH43:AH44"/>
    <mergeCell ref="W85:W86"/>
    <mergeCell ref="AV29:AV30"/>
    <mergeCell ref="AA36:AA37"/>
    <mergeCell ref="AP50:AP51"/>
    <mergeCell ref="AQ13:AQ14"/>
    <mergeCell ref="AY48:AY49"/>
    <mergeCell ref="AS13:AS14"/>
    <mergeCell ref="BA48:BA49"/>
    <mergeCell ref="T66:T67"/>
    <mergeCell ref="V66:V67"/>
    <mergeCell ref="AN52:AN53"/>
    <mergeCell ref="AL52:AL53"/>
    <mergeCell ref="BA20:BA21"/>
    <mergeCell ref="AN27:AN28"/>
    <mergeCell ref="V41:V42"/>
    <mergeCell ref="X41:X42"/>
    <mergeCell ref="Y80:Y81"/>
    <mergeCell ref="AQ15:AQ16"/>
    <mergeCell ref="AG64:AG65"/>
    <mergeCell ref="X106:X107"/>
    <mergeCell ref="AS15:AS16"/>
    <mergeCell ref="AI64:AI65"/>
    <mergeCell ref="V43:V44"/>
    <mergeCell ref="Z34:Z35"/>
    <mergeCell ref="X43:X44"/>
    <mergeCell ref="X99:X100"/>
    <mergeCell ref="AI57:AI58"/>
    <mergeCell ref="Z99:Z100"/>
    <mergeCell ref="AK57:AK58"/>
    <mergeCell ref="J29:J30"/>
    <mergeCell ref="V85:V86"/>
    <mergeCell ref="X36:X37"/>
    <mergeCell ref="Z36:Z37"/>
    <mergeCell ref="X101:X102"/>
    <mergeCell ref="Z101:Z102"/>
    <mergeCell ref="U27:U28"/>
    <mergeCell ref="AO48:AO49"/>
    <mergeCell ref="AB29:AB30"/>
    <mergeCell ref="AR13:AR14"/>
    <mergeCell ref="AQ41:AQ42"/>
    <mergeCell ref="W20:W21"/>
    <mergeCell ref="T59:T60"/>
    <mergeCell ref="AS41:AS42"/>
    <mergeCell ref="Y20:Y21"/>
    <mergeCell ref="V59:V60"/>
    <mergeCell ref="BB64:BB65"/>
    <mergeCell ref="AZ64:AZ65"/>
    <mergeCell ref="Y85:Y86"/>
    <mergeCell ref="AO43:AO44"/>
    <mergeCell ref="AQ43:AQ44"/>
    <mergeCell ref="W22:W23"/>
    <mergeCell ref="AU34:AU35"/>
    <mergeCell ref="AS43:AS44"/>
    <mergeCell ref="Y22:Y23"/>
    <mergeCell ref="Y78:Y79"/>
    <mergeCell ref="N64:N65"/>
    <mergeCell ref="AE29:AE30"/>
    <mergeCell ref="AI50:AI51"/>
    <mergeCell ref="AS36:AS37"/>
    <mergeCell ref="AK50:AK51"/>
    <mergeCell ref="N57:N58"/>
    <mergeCell ref="AU36:AU37"/>
    <mergeCell ref="AC50:AC51"/>
    <mergeCell ref="P57:P58"/>
    <mergeCell ref="AP27:AP28"/>
    <mergeCell ref="AL48:AL49"/>
    <mergeCell ref="AI52:AI53"/>
    <mergeCell ref="AQ59:AQ60"/>
    <mergeCell ref="AB34:AB35"/>
    <mergeCell ref="AC27:AC28"/>
    <mergeCell ref="AP41:AP42"/>
    <mergeCell ref="AR41:AR42"/>
    <mergeCell ref="AZ57:AZ58"/>
    <mergeCell ref="O13:O14"/>
    <mergeCell ref="BB57:BB58"/>
    <mergeCell ref="T52:T53"/>
    <mergeCell ref="O78:O79"/>
    <mergeCell ref="M64:M65"/>
    <mergeCell ref="O15:O16"/>
    <mergeCell ref="S71:S72"/>
    <mergeCell ref="AS29:AS30"/>
    <mergeCell ref="AY13:AY14"/>
    <mergeCell ref="N85:N86"/>
    <mergeCell ref="BA13:BA14"/>
    <mergeCell ref="AM29:AM30"/>
    <mergeCell ref="AH20:AH21"/>
    <mergeCell ref="S73:S74"/>
    <mergeCell ref="AV27:AV28"/>
    <mergeCell ref="AX27:AX28"/>
    <mergeCell ref="S48:S49"/>
    <mergeCell ref="U48:U49"/>
    <mergeCell ref="AN59:AN60"/>
    <mergeCell ref="S66:S67"/>
    <mergeCell ref="AJ13:AJ14"/>
    <mergeCell ref="U66:U67"/>
    <mergeCell ref="AL13:AL14"/>
    <mergeCell ref="W66:W67"/>
    <mergeCell ref="AP34:AP35"/>
    <mergeCell ref="U41:U42"/>
    <mergeCell ref="AH34:AH35"/>
    <mergeCell ref="W41:W42"/>
    <mergeCell ref="U106:U107"/>
    <mergeCell ref="AP15:AP16"/>
    <mergeCell ref="AF64:AF65"/>
    <mergeCell ref="W106:W107"/>
    <mergeCell ref="AR15:AR16"/>
    <mergeCell ref="Z29:Z30"/>
    <mergeCell ref="AT50:AT51"/>
    <mergeCell ref="AJ15:AJ16"/>
    <mergeCell ref="AH64:AH65"/>
    <mergeCell ref="AZ22:AZ23"/>
    <mergeCell ref="U43:U44"/>
    <mergeCell ref="W43:W44"/>
    <mergeCell ref="P71:P72"/>
    <mergeCell ref="Y99:Y100"/>
    <mergeCell ref="J22:J23"/>
    <mergeCell ref="AR29:AR30"/>
    <mergeCell ref="AS34:AS35"/>
    <mergeCell ref="Y36:Y37"/>
    <mergeCell ref="W101:W102"/>
    <mergeCell ref="AE20:AE21"/>
    <mergeCell ref="BA41:BA42"/>
    <mergeCell ref="AG20:AG21"/>
    <mergeCell ref="T27:T28"/>
    <mergeCell ref="Y101:Y102"/>
    <mergeCell ref="AN48:AN49"/>
    <mergeCell ref="AP48:AP49"/>
    <mergeCell ref="AC52:AC53"/>
    <mergeCell ref="AF13:AF16"/>
    <mergeCell ref="N80:N81"/>
    <mergeCell ref="AH13:AH16"/>
    <mergeCell ref="AM22:AM23"/>
    <mergeCell ref="S59:S60"/>
    <mergeCell ref="V64:V65"/>
    <mergeCell ref="U59:U60"/>
    <mergeCell ref="M59:M60"/>
    <mergeCell ref="BA64:BA65"/>
    <mergeCell ref="AU29:AU30"/>
    <mergeCell ref="A19:B21"/>
    <mergeCell ref="M34:M35"/>
    <mergeCell ref="T106:T107"/>
    <mergeCell ref="V106:V107"/>
    <mergeCell ref="AP43:AP44"/>
    <mergeCell ref="X57:X58"/>
    <mergeCell ref="AR43:AR44"/>
    <mergeCell ref="Z57:Z58"/>
    <mergeCell ref="AE22:AE23"/>
    <mergeCell ref="O36:O37"/>
    <mergeCell ref="AB50:AB51"/>
    <mergeCell ref="J27:J28"/>
    <mergeCell ref="AO62:AO63"/>
    <mergeCell ref="AR34:AR35"/>
    <mergeCell ref="AQ62:AQ63"/>
    <mergeCell ref="AY59:AY60"/>
    <mergeCell ref="O29:O30"/>
    <mergeCell ref="AE13:AE14"/>
    <mergeCell ref="AM48:AM49"/>
    <mergeCell ref="J20:J21"/>
    <mergeCell ref="AB52:AB53"/>
    <mergeCell ref="BA15:BA16"/>
    <mergeCell ref="Y34:Y35"/>
    <mergeCell ref="AP59:AP60"/>
    <mergeCell ref="AB27:AB28"/>
    <mergeCell ref="AQ64:AQ65"/>
    <mergeCell ref="S87:S88"/>
    <mergeCell ref="N13:N14"/>
    <mergeCell ref="AJ34:AJ35"/>
    <mergeCell ref="P13:P14"/>
    <mergeCell ref="N78:N79"/>
    <mergeCell ref="AS57:AS58"/>
    <mergeCell ref="P78:P79"/>
    <mergeCell ref="AU57:AU58"/>
    <mergeCell ref="BA29:BA30"/>
    <mergeCell ref="AH36:AH37"/>
    <mergeCell ref="N15:N16"/>
    <mergeCell ref="A31:B36"/>
    <mergeCell ref="AX20:AX21"/>
    <mergeCell ref="P15:P16"/>
    <mergeCell ref="AJ36:AJ37"/>
    <mergeCell ref="AD22:AD23"/>
    <mergeCell ref="AE27:AE28"/>
    <mergeCell ref="AC48:AC49"/>
    <mergeCell ref="AJ29:AJ30"/>
    <mergeCell ref="AZ13:AZ14"/>
    <mergeCell ref="AX22:AX23"/>
    <mergeCell ref="AL29:AL30"/>
    <mergeCell ref="BB13:BB14"/>
    <mergeCell ref="P73:P74"/>
    <mergeCell ref="AP62:AP63"/>
    <mergeCell ref="O34:O35"/>
    <mergeCell ref="AR62:AR63"/>
    <mergeCell ref="AC41:AC42"/>
    <mergeCell ref="AW27:AW28"/>
    <mergeCell ref="AE41:AE42"/>
    <mergeCell ref="AG41:AG42"/>
    <mergeCell ref="M20:M21"/>
    <mergeCell ref="T48:T49"/>
    <mergeCell ref="AZ15:AZ16"/>
    <mergeCell ref="J48:J49"/>
    <mergeCell ref="BB15:BB16"/>
    <mergeCell ref="AG22:AG23"/>
    <mergeCell ref="J13:J16"/>
    <mergeCell ref="AC43:AC44"/>
    <mergeCell ref="AG34:AG35"/>
    <mergeCell ref="AQ50:AQ51"/>
    <mergeCell ref="M78:M79"/>
    <mergeCell ref="AS50:AS51"/>
    <mergeCell ref="Y29:Y30"/>
    <mergeCell ref="AK15:AK16"/>
    <mergeCell ref="V78:V79"/>
    <mergeCell ref="AY22:AY23"/>
    <mergeCell ref="M15:M16"/>
    <mergeCell ref="AG36:AG37"/>
    <mergeCell ref="AI36:AI37"/>
    <mergeCell ref="AV48:AV49"/>
    <mergeCell ref="M80:M81"/>
    <mergeCell ref="AQ52:AQ53"/>
    <mergeCell ref="AX48:AX49"/>
    <mergeCell ref="AD27:AD28"/>
    <mergeCell ref="AS52:AS53"/>
    <mergeCell ref="U87:U88"/>
    <mergeCell ref="D39:H40"/>
    <mergeCell ref="X80:X81"/>
    <mergeCell ref="AX41:AX42"/>
    <mergeCell ref="AA59:AA60"/>
    <mergeCell ref="AZ41:AZ42"/>
    <mergeCell ref="AF20:AF21"/>
    <mergeCell ref="AC59:AC60"/>
    <mergeCell ref="BB41:BB42"/>
    <mergeCell ref="J66:J67"/>
    <mergeCell ref="AM20:AM21"/>
    <mergeCell ref="X73:X74"/>
    <mergeCell ref="AN57:AN58"/>
    <mergeCell ref="AG13:AG16"/>
    <mergeCell ref="AX43:AX44"/>
    <mergeCell ref="S64:S65"/>
    <mergeCell ref="AZ43:AZ44"/>
    <mergeCell ref="AF22:AF23"/>
    <mergeCell ref="U64:U65"/>
    <mergeCell ref="N59:N60"/>
    <mergeCell ref="AO22:AO23"/>
    <mergeCell ref="J43:J44"/>
    <mergeCell ref="AR50:AR51"/>
    <mergeCell ref="W57:W58"/>
    <mergeCell ref="Y57:Y58"/>
    <mergeCell ref="AY27:AY28"/>
    <mergeCell ref="AG29:AG30"/>
    <mergeCell ref="N36:N37"/>
    <mergeCell ref="T20:T21"/>
    <mergeCell ref="V20:V21"/>
    <mergeCell ref="AV59:AV60"/>
    <mergeCell ref="AX59:AX60"/>
    <mergeCell ref="AX34:AX35"/>
    <mergeCell ref="AD13:AD14"/>
    <mergeCell ref="AZ34:AZ35"/>
    <mergeCell ref="V13:V14"/>
    <mergeCell ref="X13:X14"/>
    <mergeCell ref="AN64:AN65"/>
    <mergeCell ref="X78:X79"/>
    <mergeCell ref="AP64:AP65"/>
    <mergeCell ref="AX36:AX37"/>
    <mergeCell ref="AD15:AD16"/>
    <mergeCell ref="AZ36:AZ37"/>
    <mergeCell ref="V15:V16"/>
    <mergeCell ref="AE43:AE44"/>
    <mergeCell ref="X15:X16"/>
    <mergeCell ref="M22:M23"/>
    <mergeCell ref="Z71:Z72"/>
    <mergeCell ref="AT57:AT58"/>
    <mergeCell ref="BB29:BB30"/>
    <mergeCell ref="O50:O51"/>
    <mergeCell ref="AW20:AW21"/>
    <mergeCell ref="AO20:AO21"/>
    <mergeCell ref="AY20:AY21"/>
    <mergeCell ref="Z73:Z74"/>
    <mergeCell ref="O80:O81"/>
    <mergeCell ref="M36:M37"/>
    <mergeCell ref="Y50:Y53"/>
    <mergeCell ref="AV13:AV16"/>
    <mergeCell ref="Z48:Z49"/>
    <mergeCell ref="AX13:AX16"/>
    <mergeCell ref="AB48:AB49"/>
    <mergeCell ref="O52:O53"/>
    <mergeCell ref="AW22:AW23"/>
    <mergeCell ref="N34:N35"/>
    <mergeCell ref="AD41:AD42"/>
    <mergeCell ref="AF41:AF42"/>
    <mergeCell ref="BA50:BA51"/>
    <mergeCell ref="AY15:AY16"/>
    <mergeCell ref="AO64:AO65"/>
    <mergeCell ref="AI29:AI30"/>
    <mergeCell ref="AH57:AH58"/>
    <mergeCell ref="AD43:AD44"/>
    <mergeCell ref="AQ55:AQ56"/>
    <mergeCell ref="AF43:AF44"/>
    <mergeCell ref="AS55:AS56"/>
    <mergeCell ref="BA52:BA53"/>
    <mergeCell ref="AJ50:AJ51"/>
    <mergeCell ref="P29:P30"/>
    <mergeCell ref="AL50:AL51"/>
    <mergeCell ref="AF36:AF37"/>
    <mergeCell ref="AU48:AU49"/>
    <mergeCell ref="AA27:AA28"/>
    <mergeCell ref="AP52:AP53"/>
    <mergeCell ref="AW48:AW49"/>
    <mergeCell ref="Z66:Z67"/>
    <mergeCell ref="AR52:AR53"/>
    <mergeCell ref="AJ52:AJ53"/>
    <mergeCell ref="AT52:AT53"/>
    <mergeCell ref="AW13:AW16"/>
    <mergeCell ref="AJ27:AJ28"/>
    <mergeCell ref="U80:U81"/>
    <mergeCell ref="T87:T88"/>
    <mergeCell ref="AC64:AC65"/>
    <mergeCell ref="AY41:AY42"/>
    <mergeCell ref="AO15:AO16"/>
    <mergeCell ref="AB59:AB60"/>
    <mergeCell ref="AD59:AD60"/>
    <mergeCell ref="P85:P86"/>
    <mergeCell ref="V34:V35"/>
    <mergeCell ref="AM57:AM58"/>
    <mergeCell ref="AE57:AE58"/>
    <mergeCell ref="V99:V100"/>
    <mergeCell ref="AY43:AY44"/>
    <mergeCell ref="AG57:AG58"/>
    <mergeCell ref="T64:T65"/>
    <mergeCell ref="BA43:BA44"/>
    <mergeCell ref="V36:V37"/>
    <mergeCell ref="AH50:AH53"/>
    <mergeCell ref="X92:X93"/>
    <mergeCell ref="Z92:Z93"/>
    <mergeCell ref="X29:X30"/>
    <mergeCell ref="X94:X95"/>
    <mergeCell ref="S20:S21"/>
    <mergeCell ref="AO41:AO42"/>
    <mergeCell ref="U20:U21"/>
    <mergeCell ref="Z94:Z95"/>
    <mergeCell ref="AV64:AV65"/>
    <mergeCell ref="AX64:AX65"/>
    <mergeCell ref="AW59:AW60"/>
    <mergeCell ref="U85:U86"/>
    <mergeCell ref="AO34:AO35"/>
    <mergeCell ref="AY34:AY35"/>
    <mergeCell ref="S22:S23"/>
    <mergeCell ref="AQ34:AQ35"/>
    <mergeCell ref="W13:W14"/>
    <mergeCell ref="U22:U23"/>
    <mergeCell ref="U78:U79"/>
    <mergeCell ref="Z87:Z88"/>
    <mergeCell ref="W78:W79"/>
    <mergeCell ref="A22:B24"/>
    <mergeCell ref="AA29:AA30"/>
    <mergeCell ref="AW36:AW37"/>
    <mergeCell ref="AO36:AO37"/>
    <mergeCell ref="U15:U16"/>
    <mergeCell ref="AY36:AY37"/>
    <mergeCell ref="AQ36:AQ37"/>
    <mergeCell ref="W15:W16"/>
    <mergeCell ref="J57:J58"/>
    <mergeCell ref="Y71:Y72"/>
    <mergeCell ref="AL27:AL28"/>
    <mergeCell ref="W80:W81"/>
    <mergeCell ref="W92:W93"/>
    <mergeCell ref="AE52:AE53"/>
    <mergeCell ref="N50:N51"/>
    <mergeCell ref="P50:P51"/>
    <mergeCell ref="AN20:AN21"/>
    <mergeCell ref="Y73:Y74"/>
    <mergeCell ref="AM59:AM60"/>
    <mergeCell ref="AP20:AP21"/>
    <mergeCell ref="X34:X35"/>
    <mergeCell ref="AL41:AL42"/>
    <mergeCell ref="I11:I31"/>
    <mergeCell ref="AA48:AA49"/>
    <mergeCell ref="N52:N53"/>
    <mergeCell ref="M13:M14"/>
    <mergeCell ref="P52:P53"/>
    <mergeCell ref="AN22:AN23"/>
    <mergeCell ref="AE64:AE65"/>
    <mergeCell ref="AP22:AP23"/>
    <mergeCell ref="D10:H11"/>
    <mergeCell ref="AZ50:AZ51"/>
    <mergeCell ref="BB50:BB51"/>
    <mergeCell ref="O71:O72"/>
    <mergeCell ref="AQ29:AQ30"/>
    <mergeCell ref="J85:J86"/>
    <mergeCell ref="M57:M58"/>
    <mergeCell ref="AK27:AK28"/>
    <mergeCell ref="AR55:AR56"/>
    <mergeCell ref="AT55:AT56"/>
    <mergeCell ref="AM27:AM28"/>
    <mergeCell ref="AZ52:AZ53"/>
    <mergeCell ref="O73:O74"/>
    <mergeCell ref="BB52:BB53"/>
    <mergeCell ref="J50:J53"/>
    <mergeCell ref="AJ59:AJ60"/>
    <mergeCell ref="AN13:AN14"/>
    <mergeCell ref="Y66:Y67"/>
    <mergeCell ref="O66:O67"/>
    <mergeCell ref="AP13:AP14"/>
    <mergeCell ref="AK52:AK53"/>
    <mergeCell ref="AV20:AV21"/>
    <mergeCell ref="M52:M53"/>
    <mergeCell ref="S41:S42"/>
    <mergeCell ref="AL15:AL16"/>
    <mergeCell ref="AB64:AB65"/>
    <mergeCell ref="AN15:AN16"/>
    <mergeCell ref="AD64:AD65"/>
    <mergeCell ref="AV50:AV53"/>
    <mergeCell ref="AV22:AV23"/>
    <mergeCell ref="U34:U35"/>
    <mergeCell ref="S43:S44"/>
    <mergeCell ref="U99:U100"/>
    <mergeCell ref="AF57:AF58"/>
    <mergeCell ref="W99:W100"/>
    <mergeCell ref="AN29:AN30"/>
    <mergeCell ref="U36:U37"/>
    <mergeCell ref="AG50:AG53"/>
    <mergeCell ref="S101:S102"/>
    <mergeCell ref="AK20:AK21"/>
    <mergeCell ref="AA20:AA21"/>
    <mergeCell ref="U101:U102"/>
    <mergeCell ref="P27:P28"/>
    <mergeCell ref="AC20:AC21"/>
    <mergeCell ref="Y92:Y93"/>
    <mergeCell ref="AJ48:AJ49"/>
    <mergeCell ref="AI22:AI23"/>
    <mergeCell ref="W94:W95"/>
    <mergeCell ref="AN41:AN42"/>
    <mergeCell ref="BA34:BA35"/>
    <mergeCell ref="Y94:Y95"/>
    <mergeCell ref="AW64:AW65"/>
    <mergeCell ref="T85:T86"/>
    <mergeCell ref="AY64:AY65"/>
    <mergeCell ref="AM15:AM16"/>
    <mergeCell ref="AL43:AL44"/>
    <mergeCell ref="AN43:AN44"/>
    <mergeCell ref="T22:T23"/>
    <mergeCell ref="V57:V58"/>
    <mergeCell ref="T99:T100"/>
    <mergeCell ref="AD50:AD51"/>
    <mergeCell ref="V50:V51"/>
    <mergeCell ref="AP36:AP37"/>
    <mergeCell ref="X50:X51"/>
    <mergeCell ref="AR36:AR37"/>
    <mergeCell ref="V80:V81"/>
    <mergeCell ref="M29:M30"/>
    <mergeCell ref="AI48:AI49"/>
    <mergeCell ref="AD52:AD53"/>
    <mergeCell ref="AK48:AK49"/>
    <mergeCell ref="V52:V53"/>
    <mergeCell ref="X52:X53"/>
    <mergeCell ref="AL59:AL60"/>
    <mergeCell ref="X27:X28"/>
    <mergeCell ref="W34:W35"/>
    <mergeCell ref="AM41:AM42"/>
    <mergeCell ref="AF34:AF35"/>
    <mergeCell ref="AW57:AW58"/>
    <mergeCell ref="J78:J79"/>
    <mergeCell ref="AO57:AO58"/>
    <mergeCell ref="AY57:AY58"/>
    <mergeCell ref="W36:W37"/>
    <mergeCell ref="AQ57:AQ58"/>
    <mergeCell ref="Z85:Z86"/>
    <mergeCell ref="AK43:AK44"/>
    <mergeCell ref="AX50:AX53"/>
    <mergeCell ref="AM43:AM44"/>
    <mergeCell ref="AY50:AY51"/>
    <mergeCell ref="N71:N72"/>
    <mergeCell ref="Z22:Z23"/>
    <mergeCell ref="AF29:AF30"/>
    <mergeCell ref="AH29:AH30"/>
    <mergeCell ref="AY52:AY53"/>
    <mergeCell ref="N73:N74"/>
    <mergeCell ref="AS27:AS28"/>
    <mergeCell ref="AA41:AA42"/>
    <mergeCell ref="A25:B27"/>
    <mergeCell ref="AK59:AK60"/>
    <mergeCell ref="P66:P67"/>
    <mergeCell ref="AC22:AC23"/>
    <mergeCell ref="AC34:AC35"/>
    <mergeCell ref="AE34:AE35"/>
    <mergeCell ref="J41:J42"/>
    <mergeCell ref="AA64:AA65"/>
    <mergeCell ref="AE15:AE16"/>
    <mergeCell ref="W29:W30"/>
    <mergeCell ref="AK36:AK37"/>
    <mergeCell ref="AW50:AW53"/>
    <mergeCell ref="AU22:AU23"/>
    <mergeCell ref="AC36:AC37"/>
    <mergeCell ref="AM36:AM37"/>
    <mergeCell ref="P43:P44"/>
    <mergeCell ref="T43:T44"/>
    <mergeCell ref="M71:M72"/>
    <mergeCell ref="Z27:Z28"/>
    <mergeCell ref="T36:T37"/>
    <mergeCell ref="AF50:AF53"/>
    <mergeCell ref="AT41:AT42"/>
    <mergeCell ref="AV41:AV42"/>
    <mergeCell ref="AB20:AB21"/>
    <mergeCell ref="M73:M74"/>
    <mergeCell ref="T101:T102"/>
    <mergeCell ref="AD20:AD21"/>
    <mergeCell ref="V101:V102"/>
    <mergeCell ref="M48:M49"/>
    <mergeCell ref="AA13:AA16"/>
    <mergeCell ref="AV43:AV44"/>
    <mergeCell ref="AB22:AB23"/>
    <mergeCell ref="P59:P60"/>
    <mergeCell ref="AP29:AP30"/>
    <mergeCell ref="J59:J60"/>
    <mergeCell ref="AN50:AN51"/>
    <mergeCell ref="S57:S58"/>
    <mergeCell ref="BA27:BA28"/>
    <mergeCell ref="A1:J8"/>
    <mergeCell ref="U57:U58"/>
    <mergeCell ref="AU27:AU28"/>
    <mergeCell ref="J36:J37"/>
    <mergeCell ref="W50:W51"/>
    <mergeCell ref="AT59:AT60"/>
    <mergeCell ref="AN62:AN63"/>
    <mergeCell ref="T41:T42"/>
    <mergeCell ref="AH48:AH49"/>
    <mergeCell ref="U52:U53"/>
    <mergeCell ref="T13:T14"/>
    <mergeCell ref="W52:W53"/>
    <mergeCell ref="AJ64:AJ65"/>
    <mergeCell ref="AL64:AL65"/>
    <mergeCell ref="W27:W28"/>
    <mergeCell ref="O27:O28"/>
    <mergeCell ref="T15:T16"/>
    <mergeCell ref="V71:V72"/>
    <mergeCell ref="X71:X72"/>
    <mergeCell ref="AP57:AP58"/>
    <mergeCell ref="AX29:AX30"/>
    <mergeCell ref="S85:S86"/>
    <mergeCell ref="AE36:AE37"/>
    <mergeCell ref="M50:M51"/>
    <mergeCell ref="V73:V74"/>
    <mergeCell ref="V48:V49"/>
    <mergeCell ref="X48:X49"/>
    <mergeCell ref="A28:B30"/>
    <mergeCell ref="AU13:AU14"/>
    <mergeCell ref="AM13:AM14"/>
    <mergeCell ref="X66:X67"/>
    <mergeCell ref="AM62:AM63"/>
    <mergeCell ref="AO13:AO14"/>
    <mergeCell ref="J34:J35"/>
    <mergeCell ref="AR27:AR28"/>
    <mergeCell ref="Z41:Z42"/>
    <mergeCell ref="AB41:AB42"/>
    <mergeCell ref="Z106:Z107"/>
    <mergeCell ref="AU15:AU16"/>
    <mergeCell ref="AK64:AK65"/>
    <mergeCell ref="AM64:AM65"/>
    <mergeCell ref="Z43:Z44"/>
    <mergeCell ref="AB43:AB44"/>
    <mergeCell ref="O22:O23"/>
    <mergeCell ref="N29:N30"/>
    <mergeCell ref="AB36:AB37"/>
    <mergeCell ref="AR20:AR21"/>
    <mergeCell ref="AD36:AD37"/>
    <mergeCell ref="AQ48:AQ49"/>
    <mergeCell ref="AS48:AS49"/>
    <mergeCell ref="Y27:Y28"/>
    <mergeCell ref="AH27:AH28"/>
    <mergeCell ref="S80:S81"/>
    <mergeCell ref="AU41:AU42"/>
    <mergeCell ref="X59:X60"/>
    <mergeCell ref="AW41:AW42"/>
    <mergeCell ref="Z59:Z60"/>
    <mergeCell ref="AZ29:AZ30"/>
    <mergeCell ref="Z13:Z16"/>
    <mergeCell ref="AU43:AU44"/>
    <mergeCell ref="AA22:AA23"/>
    <mergeCell ref="AC57:AC58"/>
    <mergeCell ref="AW43:AW44"/>
    <mergeCell ref="P64:P65"/>
    <mergeCell ref="J64:J65"/>
    <mergeCell ref="AH22:AH23"/>
    <mergeCell ref="AJ22:AJ23"/>
    <mergeCell ref="AE50:AE51"/>
    <mergeCell ref="V92:V93"/>
    <mergeCell ref="T57:T58"/>
    <mergeCell ref="AT27:AT28"/>
    <mergeCell ref="T29:T30"/>
    <mergeCell ref="AR48:AR49"/>
    <mergeCell ref="AM52:AM53"/>
    <mergeCell ref="O20:O21"/>
    <mergeCell ref="V94:V95"/>
    <mergeCell ref="AS59:AS60"/>
    <mergeCell ref="AD34:AD35"/>
    <mergeCell ref="AU59:AU60"/>
    <mergeCell ref="V87:V88"/>
    <mergeCell ref="AM34:AM35"/>
    <mergeCell ref="S13:S14"/>
    <mergeCell ref="X87:X88"/>
    <mergeCell ref="AV57:AV58"/>
    <mergeCell ref="U13:U14"/>
    <mergeCell ref="S78:S79"/>
    <mergeCell ref="AX57:AX58"/>
    <mergeCell ref="C22:C36"/>
    <mergeCell ref="O64:O65"/>
    <mergeCell ref="S15:S16"/>
    <mergeCell ref="U71:U72"/>
    <mergeCell ref="W71:W72"/>
    <mergeCell ref="AW29:AW30"/>
    <mergeCell ref="AO29:AO30"/>
    <mergeCell ref="AJ20:AJ21"/>
    <mergeCell ref="U73:U74"/>
    <mergeCell ref="AL20:AL21"/>
    <mergeCell ref="T34:T35"/>
    <mergeCell ref="W73:W74"/>
    <mergeCell ref="AZ27:AZ28"/>
    <mergeCell ref="BB27:BB28"/>
    <mergeCell ref="W48:W49"/>
    <mergeCell ref="Y48:Y49"/>
    <mergeCell ref="O48:O49"/>
    <mergeCell ref="AR59:AR60"/>
    <mergeCell ref="AR22:AR23"/>
    <mergeCell ref="AT22:AT23"/>
    <mergeCell ref="AL22:AL23"/>
    <mergeCell ref="Y41:Y42"/>
    <mergeCell ref="AL34:AL35"/>
    <mergeCell ref="Y106:Y107"/>
    <mergeCell ref="AD29:AD30"/>
    <mergeCell ref="I32:I40"/>
    <mergeCell ref="V29:V30"/>
    <mergeCell ref="S106:S107"/>
    <mergeCell ref="Y43:Y44"/>
    <mergeCell ref="AA43:AA44"/>
    <mergeCell ref="AN55:AN56"/>
    <mergeCell ref="AG27:AG28"/>
    <mergeCell ref="AP55:AP56"/>
    <mergeCell ref="AW34:AW35"/>
    <mergeCell ref="AI20:AI21"/>
    <mergeCell ref="AT48:AT49"/>
    <mergeCell ref="P80:P81"/>
    <mergeCell ref="O41:O42"/>
    <mergeCell ref="J80:J81"/>
    <mergeCell ref="X64:X65"/>
    <mergeCell ref="W59:W60"/>
    <mergeCell ref="Z64:Z65"/>
    <mergeCell ref="O59:O60"/>
    <mergeCell ref="Y59:Y60"/>
    <mergeCell ref="AY29:AY30"/>
    <mergeCell ref="O43:O44"/>
    <mergeCell ref="AT43:AT44"/>
    <mergeCell ref="AB57:AB58"/>
    <mergeCell ref="S99:S100"/>
    <mergeCell ref="AD57:AD58"/>
    <mergeCell ref="M85:M86"/>
    <mergeCell ref="AT15:AT16"/>
    <mergeCell ref="AA50:AA53"/>
    <mergeCell ref="AM55:AM56"/>
    <mergeCell ref="S36:S37"/>
    <mergeCell ref="S92:S93"/>
    <mergeCell ref="AO55:AO56"/>
    <mergeCell ref="U92:U93"/>
    <mergeCell ref="N27:N28"/>
    <mergeCell ref="AS62:AS63"/>
    <mergeCell ref="BA59:BA60"/>
    <mergeCell ref="S29:S30"/>
    <mergeCell ref="AI13:AI14"/>
    <mergeCell ref="AH41:AH42"/>
    <mergeCell ref="AK13:AK14"/>
    <mergeCell ref="N20:N21"/>
    <mergeCell ref="AJ41:AJ42"/>
    <mergeCell ref="AC13:AC14"/>
    <mergeCell ref="P20:P21"/>
    <mergeCell ref="U94:U95"/>
    <mergeCell ref="S94:S95"/>
    <mergeCell ref="AS64:AS65"/>
    <mergeCell ref="AU64:AU65"/>
    <mergeCell ref="BA36:BA37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6" customWidth="1" style="163" min="1" max="1"/>
    <col width="8" customWidth="1" style="163" min="2" max="2"/>
    <col width="10" customWidth="1" style="163" min="3" max="3"/>
    <col width="14" customWidth="1" style="163" min="4" max="6"/>
    <col width="12" customWidth="1" style="163" min="7" max="7"/>
    <col width="8.630000000000001" customWidth="1" style="163" min="8" max="26"/>
  </cols>
  <sheetData>
    <row r="1">
      <c r="A1" s="98" t="inlineStr">
        <is>
          <t>Проект</t>
        </is>
      </c>
      <c r="B1" s="98" t="inlineStr">
        <is>
          <t>Этажей</t>
        </is>
      </c>
      <c r="C1" s="98" t="inlineStr">
        <is>
          <t>Дом м²</t>
        </is>
      </c>
      <c r="D1" s="98" t="inlineStr">
        <is>
          <t>Черновая ₽</t>
        </is>
      </c>
      <c r="E1" s="98" t="inlineStr">
        <is>
          <t>ПЧО ₽</t>
        </is>
      </c>
      <c r="F1" s="98" t="inlineStr">
        <is>
          <t>Под ключ ₽</t>
        </is>
      </c>
      <c r="G1" s="98" t="inlineStr">
        <is>
          <t>₽/м² дома</t>
        </is>
      </c>
    </row>
    <row r="2">
      <c r="A2" s="99" t="inlineStr">
        <is>
          <t>Костеро</t>
        </is>
      </c>
      <c r="B2" s="99" t="n">
        <v>1</v>
      </c>
      <c r="C2" s="99" t="n">
        <v>32</v>
      </c>
      <c r="D2" s="100" t="n">
        <v>5379000</v>
      </c>
      <c r="E2" s="100" t="n">
        <v>5709000</v>
      </c>
      <c r="F2" s="100" t="n">
        <v>6094000</v>
      </c>
      <c r="G2" s="100">
        <f>IF(AND(F2&gt;0,C2&gt;0),ROUND(F2/C2,0),"")</f>
        <v/>
      </c>
    </row>
    <row r="3">
      <c r="A3" s="99" t="inlineStr">
        <is>
          <t>Линия 40</t>
        </is>
      </c>
      <c r="B3" s="99" t="n">
        <v>1</v>
      </c>
      <c r="C3" s="99" t="n">
        <v>40</v>
      </c>
      <c r="D3" s="100" t="n">
        <v>7000000</v>
      </c>
      <c r="E3" s="100" t="n">
        <v>7600000</v>
      </c>
      <c r="F3" s="100" t="n">
        <v>8500000</v>
      </c>
      <c r="G3" s="100">
        <f>IF(AND(F3&gt;0,C3&gt;0),ROUND(F3/C3,0),"")</f>
        <v/>
      </c>
    </row>
    <row r="4">
      <c r="A4" s="99" t="inlineStr">
        <is>
          <t>Линия 72</t>
        </is>
      </c>
      <c r="B4" s="99" t="n">
        <v>1</v>
      </c>
      <c r="C4" s="99" t="n">
        <v>72</v>
      </c>
      <c r="D4" s="100" t="n">
        <v>9190000</v>
      </c>
      <c r="E4" s="100" t="n">
        <v>9990000</v>
      </c>
      <c r="F4" s="100" t="n">
        <v>11260000</v>
      </c>
      <c r="G4" s="100">
        <f>IF(AND(F4&gt;0,C4&gt;0),ROUND(F4/C4,0),"")</f>
        <v/>
      </c>
    </row>
    <row r="5">
      <c r="A5" s="99" t="inlineStr">
        <is>
          <t>Логос</t>
        </is>
      </c>
      <c r="B5" s="99" t="n">
        <v>1</v>
      </c>
      <c r="C5" s="99" t="n">
        <v>64</v>
      </c>
      <c r="D5" s="100" t="n">
        <v>8300000</v>
      </c>
      <c r="E5" s="100" t="n">
        <v>9090000</v>
      </c>
      <c r="F5" s="100" t="n">
        <v>10990000</v>
      </c>
      <c r="G5" s="100">
        <f>IF(AND(F5&gt;0,C5&gt;0),ROUND(F5/C5,0),"")</f>
        <v/>
      </c>
    </row>
    <row r="6">
      <c r="A6" s="99" t="inlineStr">
        <is>
          <t>Логос мини</t>
        </is>
      </c>
      <c r="B6" s="99" t="n">
        <v>1</v>
      </c>
      <c r="C6" s="99" t="n">
        <v>40</v>
      </c>
      <c r="D6" s="100" t="n">
        <v>7000000</v>
      </c>
      <c r="E6" s="100" t="n">
        <v>7600000</v>
      </c>
      <c r="F6" s="100" t="n">
        <v>8500000</v>
      </c>
      <c r="G6" s="100">
        <f>IF(AND(F6&gt;0,C6&gt;0),ROUND(F6/C6,0),"")</f>
        <v/>
      </c>
    </row>
    <row r="7">
      <c r="A7" s="99" t="inlineStr">
        <is>
          <t>Палаццо</t>
        </is>
      </c>
      <c r="B7" s="99" t="n">
        <v>2</v>
      </c>
      <c r="C7" s="99" t="n">
        <v>80</v>
      </c>
      <c r="D7" s="100" t="n">
        <v>9490000</v>
      </c>
      <c r="E7" s="100" t="n">
        <v>10190000</v>
      </c>
      <c r="F7" s="100" t="n">
        <v>11990000</v>
      </c>
      <c r="G7" s="100">
        <f>IF(AND(F7&gt;0,C7&gt;0),ROUND(F7/C7,0),"")</f>
        <v/>
      </c>
    </row>
    <row r="8">
      <c r="A8" s="99" t="inlineStr">
        <is>
          <t>Эдем</t>
        </is>
      </c>
      <c r="B8" s="99" t="n">
        <v>2</v>
      </c>
      <c r="C8" s="99" t="n">
        <v>60</v>
      </c>
      <c r="D8" s="100" t="n">
        <v>8300000</v>
      </c>
      <c r="E8" s="100" t="n">
        <v>9090000</v>
      </c>
      <c r="F8" s="100" t="n">
        <v>10990000</v>
      </c>
      <c r="G8" s="100">
        <f>IF(AND(F8&gt;0,C8&gt;0),ROUND(F8/C8,0),"")</f>
        <v/>
      </c>
    </row>
    <row r="9">
      <c r="A9" s="99" t="inlineStr">
        <is>
          <t>Арбор</t>
        </is>
      </c>
      <c r="B9" s="99" t="n">
        <v>1</v>
      </c>
      <c r="C9" s="99" t="n">
        <v>32</v>
      </c>
      <c r="D9" s="100" t="n">
        <v>5379000</v>
      </c>
      <c r="E9" s="100" t="n">
        <v>5819000</v>
      </c>
      <c r="F9" s="100" t="n">
        <v>6369000</v>
      </c>
      <c r="G9" s="100">
        <f>IF(AND(F9&gt;0,C9&gt;0),ROUND(F9/C9,0),"")</f>
        <v/>
      </c>
    </row>
    <row r="10">
      <c r="A10" s="99" t="inlineStr">
        <is>
          <t>Баня</t>
        </is>
      </c>
      <c r="B10" s="99" t="n">
        <v>1</v>
      </c>
      <c r="C10" s="99" t="n">
        <v>24</v>
      </c>
      <c r="D10" s="100" t="n">
        <v>2500000</v>
      </c>
      <c r="E10" s="100" t="n">
        <v>2800000</v>
      </c>
      <c r="F10" s="100" t="n">
        <v>3200000</v>
      </c>
      <c r="G10" s="100">
        <f>IF(AND(F10&gt;0,C10&gt;0),ROUND(F10/C10,0),"")</f>
        <v/>
      </c>
    </row>
    <row r="11">
      <c r="A11" s="99" t="inlineStr">
        <is>
          <t>Вилла Маре</t>
        </is>
      </c>
      <c r="B11" s="99" t="n">
        <v>2</v>
      </c>
      <c r="C11" s="99" t="n">
        <v>136</v>
      </c>
      <c r="D11" s="100" t="n">
        <v>10390000</v>
      </c>
      <c r="E11" s="100" t="n">
        <v>11100000</v>
      </c>
      <c r="F11" s="100" t="n">
        <v>12850000</v>
      </c>
      <c r="G11" s="100">
        <f>IF(AND(F11&gt;0,C11&gt;0),ROUND(F11/C11,0),"")</f>
        <v/>
      </c>
    </row>
    <row r="12">
      <c r="A12" s="97" t="n"/>
      <c r="B12" s="97" t="n"/>
      <c r="C12" s="97" t="n"/>
      <c r="D12" s="97" t="n"/>
      <c r="E12" s="97" t="n"/>
      <c r="F12" s="97" t="n"/>
      <c r="G12" s="97" t="n"/>
    </row>
    <row r="13">
      <c r="A13" s="97" t="n"/>
      <c r="B13" s="97" t="n"/>
      <c r="C13" s="97" t="n"/>
      <c r="D13" s="97" t="n"/>
      <c r="E13" s="97" t="n"/>
      <c r="F13" s="97" t="n"/>
      <c r="G13" s="97" t="n"/>
    </row>
    <row r="14">
      <c r="A14" s="97" t="n"/>
      <c r="B14" s="97" t="n"/>
      <c r="C14" s="97" t="n"/>
      <c r="D14" s="97" t="n"/>
      <c r="E14" s="97" t="n"/>
      <c r="F14" s="97" t="n"/>
      <c r="G14" s="97" t="n"/>
    </row>
    <row r="15">
      <c r="A15" s="97" t="n"/>
      <c r="B15" s="97" t="n"/>
      <c r="C15" s="97" t="n"/>
      <c r="D15" s="97" t="n"/>
      <c r="E15" s="97" t="n"/>
      <c r="F15" s="97" t="n"/>
      <c r="G15" s="97" t="n"/>
    </row>
    <row r="16">
      <c r="A16" s="97" t="n"/>
      <c r="B16" s="97" t="n"/>
      <c r="C16" s="97" t="n"/>
      <c r="D16" s="97" t="n"/>
      <c r="E16" s="97" t="n"/>
      <c r="F16" s="97" t="n"/>
      <c r="G16" s="97" t="n"/>
    </row>
    <row r="17">
      <c r="A17" s="97" t="n"/>
      <c r="B17" s="97" t="n"/>
      <c r="C17" s="97" t="n"/>
      <c r="D17" s="97" t="n"/>
      <c r="E17" s="97" t="n"/>
      <c r="F17" s="97" t="n"/>
      <c r="G17" s="97" t="n"/>
    </row>
    <row r="18">
      <c r="A18" s="97" t="n"/>
      <c r="B18" s="97" t="n"/>
      <c r="C18" s="97" t="n"/>
      <c r="D18" s="97" t="n"/>
      <c r="E18" s="97" t="n"/>
      <c r="F18" s="97" t="n"/>
      <c r="G18" s="97" t="n"/>
    </row>
    <row r="19">
      <c r="A19" s="97" t="n"/>
      <c r="B19" s="97" t="n"/>
      <c r="C19" s="97" t="n"/>
      <c r="D19" s="97" t="n"/>
      <c r="E19" s="97" t="n"/>
      <c r="F19" s="97" t="n"/>
      <c r="G19" s="97" t="n"/>
    </row>
    <row r="20">
      <c r="A20" s="97" t="n"/>
      <c r="B20" s="97" t="n"/>
      <c r="C20" s="97" t="n"/>
      <c r="D20" s="97" t="n"/>
      <c r="E20" s="97" t="n"/>
      <c r="F20" s="97" t="n"/>
      <c r="G20" s="97" t="n"/>
    </row>
    <row r="21" ht="15.75" customHeight="1" s="163">
      <c r="A21" s="97" t="n"/>
      <c r="B21" s="97" t="n"/>
      <c r="C21" s="97" t="n"/>
      <c r="D21" s="97" t="n"/>
      <c r="E21" s="97" t="n"/>
      <c r="F21" s="97" t="n"/>
      <c r="G21" s="97" t="n"/>
    </row>
    <row r="22" ht="15.75" customHeight="1" s="163">
      <c r="A22" s="97" t="n"/>
      <c r="B22" s="97" t="n"/>
      <c r="C22" s="97" t="n"/>
      <c r="D22" s="97" t="n"/>
      <c r="E22" s="97" t="n"/>
      <c r="F22" s="97" t="n"/>
      <c r="G22" s="97" t="n"/>
    </row>
    <row r="23" ht="15.75" customHeight="1" s="163">
      <c r="A23" s="97" t="n"/>
      <c r="B23" s="97" t="n"/>
      <c r="C23" s="97" t="n"/>
      <c r="D23" s="97" t="n"/>
      <c r="E23" s="97" t="n"/>
      <c r="F23" s="97" t="n"/>
      <c r="G23" s="97" t="n"/>
    </row>
    <row r="24" ht="15.75" customHeight="1" s="163">
      <c r="A24" s="97" t="n"/>
      <c r="B24" s="97" t="n"/>
      <c r="C24" s="97" t="n"/>
      <c r="D24" s="97" t="n"/>
      <c r="E24" s="97" t="n"/>
      <c r="F24" s="97" t="n"/>
      <c r="G24" s="97" t="n"/>
    </row>
    <row r="25" ht="15.75" customHeight="1" s="163">
      <c r="A25" s="97" t="n"/>
      <c r="B25" s="97" t="n"/>
      <c r="C25" s="97" t="n"/>
      <c r="D25" s="97" t="n"/>
      <c r="E25" s="97" t="n"/>
      <c r="F25" s="97" t="n"/>
      <c r="G25" s="97" t="n"/>
    </row>
    <row r="26" ht="15.75" customHeight="1" s="163">
      <c r="A26" s="97" t="n"/>
      <c r="B26" s="97" t="n"/>
      <c r="C26" s="97" t="n"/>
      <c r="D26" s="97" t="n"/>
      <c r="E26" s="97" t="n"/>
      <c r="F26" s="97" t="n"/>
      <c r="G26" s="97" t="n"/>
    </row>
    <row r="27" ht="15.75" customHeight="1" s="163">
      <c r="A27" s="97" t="n"/>
      <c r="B27" s="97" t="n"/>
      <c r="C27" s="97" t="n"/>
      <c r="D27" s="97" t="n"/>
      <c r="E27" s="97" t="n"/>
      <c r="F27" s="97" t="n"/>
      <c r="G27" s="97" t="n"/>
    </row>
    <row r="28" ht="15.75" customHeight="1" s="163">
      <c r="A28" s="97" t="n"/>
      <c r="B28" s="97" t="n"/>
      <c r="C28" s="97" t="n"/>
      <c r="D28" s="97" t="n"/>
      <c r="E28" s="97" t="n"/>
      <c r="F28" s="97" t="n"/>
      <c r="G28" s="97" t="n"/>
    </row>
    <row r="29" ht="15.75" customHeight="1" s="163">
      <c r="A29" s="97" t="n"/>
      <c r="B29" s="97" t="n"/>
      <c r="C29" s="97" t="n"/>
      <c r="D29" s="97" t="n"/>
      <c r="E29" s="97" t="n"/>
      <c r="F29" s="97" t="n"/>
      <c r="G29" s="97" t="n"/>
    </row>
    <row r="30" ht="15.75" customHeight="1" s="163">
      <c r="A30" s="97" t="n"/>
      <c r="B30" s="97" t="n"/>
      <c r="C30" s="97" t="n"/>
      <c r="D30" s="97" t="n"/>
      <c r="E30" s="97" t="n"/>
      <c r="F30" s="97" t="n"/>
      <c r="G30" s="97" t="n"/>
    </row>
    <row r="31" ht="15.75" customHeight="1" s="163">
      <c r="A31" s="97" t="n"/>
      <c r="B31" s="97" t="n"/>
      <c r="C31" s="97" t="n"/>
      <c r="D31" s="97" t="n"/>
      <c r="E31" s="97" t="n"/>
      <c r="F31" s="97" t="n"/>
      <c r="G31" s="97" t="n"/>
    </row>
    <row r="32" ht="15.75" customHeight="1" s="163">
      <c r="A32" s="97" t="n"/>
      <c r="B32" s="97" t="n"/>
      <c r="C32" s="97" t="n"/>
      <c r="D32" s="97" t="n"/>
      <c r="E32" s="97" t="n"/>
      <c r="F32" s="97" t="n"/>
      <c r="G32" s="97" t="n"/>
    </row>
    <row r="33" ht="15.75" customHeight="1" s="163">
      <c r="A33" s="97" t="n"/>
      <c r="B33" s="97" t="n"/>
      <c r="C33" s="97" t="n"/>
      <c r="D33" s="97" t="n"/>
      <c r="E33" s="97" t="n"/>
      <c r="F33" s="97" t="n"/>
      <c r="G33" s="97" t="n"/>
    </row>
    <row r="34" ht="15.75" customHeight="1" s="163">
      <c r="A34" s="97" t="n"/>
      <c r="B34" s="97" t="n"/>
      <c r="C34" s="97" t="n"/>
      <c r="D34" s="97" t="n"/>
      <c r="E34" s="97" t="n"/>
      <c r="F34" s="97" t="n"/>
      <c r="G34" s="97" t="n"/>
    </row>
    <row r="35" ht="15.75" customHeight="1" s="163">
      <c r="A35" s="97" t="n"/>
      <c r="B35" s="97" t="n"/>
      <c r="C35" s="97" t="n"/>
      <c r="D35" s="97" t="n"/>
      <c r="E35" s="97" t="n"/>
      <c r="F35" s="97" t="n"/>
      <c r="G35" s="97" t="n"/>
    </row>
    <row r="36" ht="15.75" customHeight="1" s="163">
      <c r="A36" s="97" t="n"/>
      <c r="B36" s="97" t="n"/>
      <c r="C36" s="97" t="n"/>
      <c r="D36" s="97" t="n"/>
      <c r="E36" s="97" t="n"/>
      <c r="F36" s="97" t="n"/>
      <c r="G36" s="97" t="n"/>
    </row>
    <row r="37" ht="15.75" customHeight="1" s="163">
      <c r="A37" s="97" t="n"/>
      <c r="B37" s="97" t="n"/>
      <c r="C37" s="97" t="n"/>
      <c r="D37" s="97" t="n"/>
      <c r="E37" s="97" t="n"/>
      <c r="F37" s="97" t="n"/>
      <c r="G37" s="97" t="n"/>
    </row>
    <row r="38" ht="15.75" customHeight="1" s="163">
      <c r="A38" s="97" t="n"/>
      <c r="B38" s="97" t="n"/>
      <c r="C38" s="97" t="n"/>
      <c r="D38" s="97" t="n"/>
      <c r="E38" s="97" t="n"/>
      <c r="F38" s="97" t="n"/>
      <c r="G38" s="97" t="n"/>
    </row>
    <row r="39" ht="15.75" customHeight="1" s="163">
      <c r="A39" s="97" t="n"/>
      <c r="B39" s="97" t="n"/>
      <c r="C39" s="97" t="n"/>
      <c r="D39" s="97" t="n"/>
      <c r="E39" s="97" t="n"/>
      <c r="F39" s="97" t="n"/>
      <c r="G39" s="97" t="n"/>
    </row>
    <row r="40" ht="15.75" customHeight="1" s="163">
      <c r="A40" s="97" t="n"/>
      <c r="B40" s="97" t="n"/>
      <c r="C40" s="97" t="n"/>
      <c r="D40" s="97" t="n"/>
      <c r="E40" s="97" t="n"/>
      <c r="F40" s="97" t="n"/>
      <c r="G40" s="97" t="n"/>
    </row>
    <row r="41" ht="15.75" customHeight="1" s="163">
      <c r="A41" s="97" t="n"/>
      <c r="B41" s="97" t="n"/>
      <c r="C41" s="97" t="n"/>
      <c r="D41" s="97" t="n"/>
      <c r="E41" s="97" t="n"/>
      <c r="F41" s="97" t="n"/>
      <c r="G41" s="97" t="n"/>
    </row>
    <row r="42" ht="15.75" customHeight="1" s="163">
      <c r="A42" s="97" t="n"/>
      <c r="B42" s="97" t="n"/>
      <c r="C42" s="97" t="n"/>
      <c r="D42" s="97" t="n"/>
      <c r="E42" s="97" t="n"/>
      <c r="F42" s="97" t="n"/>
      <c r="G42" s="97" t="n"/>
    </row>
    <row r="43" ht="15.75" customHeight="1" s="163">
      <c r="A43" s="97" t="n"/>
      <c r="B43" s="97" t="n"/>
      <c r="C43" s="97" t="n"/>
      <c r="D43" s="97" t="n"/>
      <c r="E43" s="97" t="n"/>
      <c r="F43" s="97" t="n"/>
      <c r="G43" s="97" t="n"/>
    </row>
    <row r="44" ht="15.75" customHeight="1" s="163">
      <c r="A44" s="97" t="n"/>
      <c r="B44" s="97" t="n"/>
      <c r="C44" s="97" t="n"/>
      <c r="D44" s="97" t="n"/>
      <c r="E44" s="97" t="n"/>
      <c r="F44" s="97" t="n"/>
      <c r="G44" s="97" t="n"/>
    </row>
    <row r="45" ht="15.75" customHeight="1" s="163">
      <c r="A45" s="97" t="n"/>
      <c r="B45" s="97" t="n"/>
      <c r="C45" s="97" t="n"/>
      <c r="D45" s="97" t="n"/>
      <c r="E45" s="97" t="n"/>
      <c r="F45" s="97" t="n"/>
      <c r="G45" s="97" t="n"/>
    </row>
    <row r="46" ht="15.75" customHeight="1" s="163">
      <c r="A46" s="97" t="n"/>
      <c r="B46" s="97" t="n"/>
      <c r="C46" s="97" t="n"/>
      <c r="D46" s="97" t="n"/>
      <c r="E46" s="97" t="n"/>
      <c r="F46" s="97" t="n"/>
      <c r="G46" s="97" t="n"/>
    </row>
    <row r="47" ht="15.75" customHeight="1" s="163">
      <c r="A47" s="97" t="n"/>
      <c r="B47" s="97" t="n"/>
      <c r="C47" s="97" t="n"/>
      <c r="D47" s="97" t="n"/>
      <c r="E47" s="97" t="n"/>
      <c r="F47" s="97" t="n"/>
      <c r="G47" s="97" t="n"/>
    </row>
    <row r="48" ht="15.75" customHeight="1" s="163">
      <c r="A48" s="97" t="n"/>
      <c r="B48" s="97" t="n"/>
      <c r="C48" s="97" t="n"/>
      <c r="D48" s="97" t="n"/>
      <c r="E48" s="97" t="n"/>
      <c r="F48" s="97" t="n"/>
      <c r="G48" s="97" t="n"/>
    </row>
    <row r="49" ht="15.75" customHeight="1" s="163">
      <c r="A49" s="97" t="n"/>
      <c r="B49" s="97" t="n"/>
      <c r="C49" s="97" t="n"/>
      <c r="D49" s="97" t="n"/>
      <c r="E49" s="97" t="n"/>
      <c r="F49" s="97" t="n"/>
      <c r="G49" s="97" t="n"/>
    </row>
    <row r="50" ht="15.75" customHeight="1" s="163">
      <c r="A50" s="97" t="n"/>
      <c r="B50" s="97" t="n"/>
      <c r="C50" s="97" t="n"/>
      <c r="D50" s="97" t="n"/>
      <c r="E50" s="97" t="n"/>
      <c r="F50" s="97" t="n"/>
      <c r="G50" s="97" t="n"/>
    </row>
    <row r="51" ht="15.75" customHeight="1" s="163">
      <c r="A51" s="97" t="n"/>
      <c r="B51" s="97" t="n"/>
      <c r="C51" s="97" t="n"/>
      <c r="D51" s="97" t="n"/>
      <c r="E51" s="97" t="n"/>
      <c r="F51" s="97" t="n"/>
      <c r="G51" s="97" t="n"/>
    </row>
    <row r="52" ht="15.75" customHeight="1" s="163">
      <c r="A52" s="97" t="n"/>
      <c r="B52" s="97" t="n"/>
      <c r="C52" s="97" t="n"/>
      <c r="D52" s="97" t="n"/>
      <c r="E52" s="97" t="n"/>
      <c r="F52" s="97" t="n"/>
      <c r="G52" s="97" t="n"/>
    </row>
    <row r="53" ht="15.75" customHeight="1" s="163">
      <c r="A53" s="97" t="n"/>
      <c r="B53" s="97" t="n"/>
      <c r="C53" s="97" t="n"/>
      <c r="D53" s="97" t="n"/>
      <c r="E53" s="97" t="n"/>
      <c r="F53" s="97" t="n"/>
      <c r="G53" s="97" t="n"/>
    </row>
    <row r="54" ht="15.75" customHeight="1" s="163">
      <c r="A54" s="97" t="n"/>
      <c r="B54" s="97" t="n"/>
      <c r="C54" s="97" t="n"/>
      <c r="D54" s="97" t="n"/>
      <c r="E54" s="97" t="n"/>
      <c r="F54" s="97" t="n"/>
      <c r="G54" s="97" t="n"/>
    </row>
    <row r="55" ht="15.75" customHeight="1" s="163">
      <c r="A55" s="97" t="n"/>
      <c r="B55" s="97" t="n"/>
      <c r="C55" s="97" t="n"/>
      <c r="D55" s="97" t="n"/>
      <c r="E55" s="97" t="n"/>
      <c r="F55" s="97" t="n"/>
      <c r="G55" s="97" t="n"/>
    </row>
    <row r="56" ht="15.75" customHeight="1" s="163">
      <c r="A56" s="97" t="n"/>
      <c r="B56" s="97" t="n"/>
      <c r="C56" s="97" t="n"/>
      <c r="D56" s="97" t="n"/>
      <c r="E56" s="97" t="n"/>
      <c r="F56" s="97" t="n"/>
      <c r="G56" s="97" t="n"/>
    </row>
    <row r="57" ht="15.75" customHeight="1" s="163">
      <c r="A57" s="97" t="n"/>
      <c r="B57" s="97" t="n"/>
      <c r="C57" s="97" t="n"/>
      <c r="D57" s="97" t="n"/>
      <c r="E57" s="97" t="n"/>
      <c r="F57" s="97" t="n"/>
      <c r="G57" s="97" t="n"/>
    </row>
    <row r="58" ht="15.75" customHeight="1" s="163">
      <c r="A58" s="97" t="n"/>
      <c r="B58" s="97" t="n"/>
      <c r="C58" s="97" t="n"/>
      <c r="D58" s="97" t="n"/>
      <c r="E58" s="97" t="n"/>
      <c r="F58" s="97" t="n"/>
      <c r="G58" s="97" t="n"/>
    </row>
    <row r="59" ht="15.75" customHeight="1" s="163">
      <c r="A59" s="97" t="n"/>
      <c r="B59" s="97" t="n"/>
      <c r="C59" s="97" t="n"/>
      <c r="D59" s="97" t="n"/>
      <c r="E59" s="97" t="n"/>
      <c r="F59" s="97" t="n"/>
      <c r="G59" s="97" t="n"/>
    </row>
    <row r="60" ht="15.75" customHeight="1" s="163">
      <c r="A60" s="97" t="n"/>
      <c r="B60" s="97" t="n"/>
      <c r="C60" s="97" t="n"/>
      <c r="D60" s="97" t="n"/>
      <c r="E60" s="97" t="n"/>
      <c r="F60" s="97" t="n"/>
      <c r="G60" s="97" t="n"/>
    </row>
    <row r="61" ht="15.75" customHeight="1" s="163">
      <c r="A61" s="97" t="n"/>
      <c r="B61" s="97" t="n"/>
      <c r="C61" s="97" t="n"/>
      <c r="D61" s="97" t="n"/>
      <c r="E61" s="97" t="n"/>
      <c r="F61" s="97" t="n"/>
      <c r="G61" s="97" t="n"/>
    </row>
    <row r="62" ht="15.75" customHeight="1" s="163">
      <c r="A62" s="97" t="n"/>
      <c r="B62" s="97" t="n"/>
      <c r="C62" s="97" t="n"/>
      <c r="D62" s="97" t="n"/>
      <c r="E62" s="97" t="n"/>
      <c r="F62" s="97" t="n"/>
      <c r="G62" s="97" t="n"/>
    </row>
    <row r="63" ht="15.75" customHeight="1" s="163">
      <c r="A63" s="97" t="n"/>
      <c r="B63" s="97" t="n"/>
      <c r="C63" s="97" t="n"/>
      <c r="D63" s="97" t="n"/>
      <c r="E63" s="97" t="n"/>
      <c r="F63" s="97" t="n"/>
      <c r="G63" s="97" t="n"/>
    </row>
    <row r="64" ht="15.75" customHeight="1" s="163">
      <c r="A64" s="97" t="n"/>
      <c r="B64" s="97" t="n"/>
      <c r="C64" s="97" t="n"/>
      <c r="D64" s="97" t="n"/>
      <c r="E64" s="97" t="n"/>
      <c r="F64" s="97" t="n"/>
      <c r="G64" s="97" t="n"/>
    </row>
    <row r="65" ht="15.75" customHeight="1" s="163">
      <c r="A65" s="97" t="n"/>
      <c r="B65" s="97" t="n"/>
      <c r="C65" s="97" t="n"/>
      <c r="D65" s="97" t="n"/>
      <c r="E65" s="97" t="n"/>
      <c r="F65" s="97" t="n"/>
      <c r="G65" s="97" t="n"/>
    </row>
    <row r="66" ht="15.75" customHeight="1" s="163">
      <c r="A66" s="97" t="n"/>
      <c r="B66" s="97" t="n"/>
      <c r="C66" s="97" t="n"/>
      <c r="D66" s="97" t="n"/>
      <c r="E66" s="97" t="n"/>
      <c r="F66" s="97" t="n"/>
      <c r="G66" s="97" t="n"/>
    </row>
    <row r="67" ht="15.75" customHeight="1" s="163">
      <c r="A67" s="97" t="n"/>
      <c r="B67" s="97" t="n"/>
      <c r="C67" s="97" t="n"/>
      <c r="D67" s="97" t="n"/>
      <c r="E67" s="97" t="n"/>
      <c r="F67" s="97" t="n"/>
      <c r="G67" s="97" t="n"/>
    </row>
    <row r="68" ht="15.75" customHeight="1" s="163">
      <c r="A68" s="97" t="n"/>
      <c r="B68" s="97" t="n"/>
      <c r="C68" s="97" t="n"/>
      <c r="D68" s="97" t="n"/>
      <c r="E68" s="97" t="n"/>
      <c r="F68" s="97" t="n"/>
      <c r="G68" s="97" t="n"/>
    </row>
    <row r="69" ht="15.75" customHeight="1" s="163">
      <c r="A69" s="97" t="n"/>
      <c r="B69" s="97" t="n"/>
      <c r="C69" s="97" t="n"/>
      <c r="D69" s="97" t="n"/>
      <c r="E69" s="97" t="n"/>
      <c r="F69" s="97" t="n"/>
      <c r="G69" s="97" t="n"/>
    </row>
    <row r="70" ht="15.75" customHeight="1" s="163">
      <c r="A70" s="97" t="n"/>
      <c r="B70" s="97" t="n"/>
      <c r="C70" s="97" t="n"/>
      <c r="D70" s="97" t="n"/>
      <c r="E70" s="97" t="n"/>
      <c r="F70" s="97" t="n"/>
      <c r="G70" s="97" t="n"/>
    </row>
    <row r="71" ht="15.75" customHeight="1" s="163">
      <c r="A71" s="97" t="n"/>
      <c r="B71" s="97" t="n"/>
      <c r="C71" s="97" t="n"/>
      <c r="D71" s="97" t="n"/>
      <c r="E71" s="97" t="n"/>
      <c r="F71" s="97" t="n"/>
      <c r="G71" s="97" t="n"/>
    </row>
    <row r="72" ht="15.75" customHeight="1" s="163">
      <c r="A72" s="97" t="n"/>
      <c r="B72" s="97" t="n"/>
      <c r="C72" s="97" t="n"/>
      <c r="D72" s="97" t="n"/>
      <c r="E72" s="97" t="n"/>
      <c r="F72" s="97" t="n"/>
      <c r="G72" s="97" t="n"/>
    </row>
    <row r="73" ht="15.75" customHeight="1" s="163">
      <c r="A73" s="97" t="n"/>
      <c r="B73" s="97" t="n"/>
      <c r="C73" s="97" t="n"/>
      <c r="D73" s="97" t="n"/>
      <c r="E73" s="97" t="n"/>
      <c r="F73" s="97" t="n"/>
      <c r="G73" s="97" t="n"/>
    </row>
    <row r="74" ht="15.75" customHeight="1" s="163">
      <c r="A74" s="97" t="n"/>
      <c r="B74" s="97" t="n"/>
      <c r="C74" s="97" t="n"/>
      <c r="D74" s="97" t="n"/>
      <c r="E74" s="97" t="n"/>
      <c r="F74" s="97" t="n"/>
      <c r="G74" s="97" t="n"/>
    </row>
    <row r="75" ht="15.75" customHeight="1" s="163">
      <c r="A75" s="97" t="n"/>
      <c r="B75" s="97" t="n"/>
      <c r="C75" s="97" t="n"/>
      <c r="D75" s="97" t="n"/>
      <c r="E75" s="97" t="n"/>
      <c r="F75" s="97" t="n"/>
      <c r="G75" s="97" t="n"/>
    </row>
    <row r="76" ht="15.75" customHeight="1" s="163">
      <c r="A76" s="97" t="n"/>
      <c r="B76" s="97" t="n"/>
      <c r="C76" s="97" t="n"/>
      <c r="D76" s="97" t="n"/>
      <c r="E76" s="97" t="n"/>
      <c r="F76" s="97" t="n"/>
      <c r="G76" s="97" t="n"/>
    </row>
    <row r="77" ht="15.75" customHeight="1" s="163">
      <c r="A77" s="97" t="n"/>
      <c r="B77" s="97" t="n"/>
      <c r="C77" s="97" t="n"/>
      <c r="D77" s="97" t="n"/>
      <c r="E77" s="97" t="n"/>
      <c r="F77" s="97" t="n"/>
      <c r="G77" s="97" t="n"/>
    </row>
    <row r="78" ht="15.75" customHeight="1" s="163">
      <c r="A78" s="97" t="n"/>
      <c r="B78" s="97" t="n"/>
      <c r="C78" s="97" t="n"/>
      <c r="D78" s="97" t="n"/>
      <c r="E78" s="97" t="n"/>
      <c r="F78" s="97" t="n"/>
      <c r="G78" s="97" t="n"/>
    </row>
    <row r="79" ht="15.75" customHeight="1" s="163">
      <c r="A79" s="97" t="n"/>
      <c r="B79" s="97" t="n"/>
      <c r="C79" s="97" t="n"/>
      <c r="D79" s="97" t="n"/>
      <c r="E79" s="97" t="n"/>
      <c r="F79" s="97" t="n"/>
      <c r="G79" s="97" t="n"/>
    </row>
    <row r="80" ht="15.75" customHeight="1" s="163">
      <c r="A80" s="97" t="n"/>
      <c r="B80" s="97" t="n"/>
      <c r="C80" s="97" t="n"/>
      <c r="D80" s="97" t="n"/>
      <c r="E80" s="97" t="n"/>
      <c r="F80" s="97" t="n"/>
      <c r="G80" s="97" t="n"/>
    </row>
    <row r="81" ht="15.75" customHeight="1" s="163">
      <c r="A81" s="97" t="n"/>
      <c r="B81" s="97" t="n"/>
      <c r="C81" s="97" t="n"/>
      <c r="D81" s="97" t="n"/>
      <c r="E81" s="97" t="n"/>
      <c r="F81" s="97" t="n"/>
      <c r="G81" s="97" t="n"/>
    </row>
    <row r="82" ht="15.75" customHeight="1" s="163">
      <c r="A82" s="97" t="n"/>
      <c r="B82" s="97" t="n"/>
      <c r="C82" s="97" t="n"/>
      <c r="D82" s="97" t="n"/>
      <c r="E82" s="97" t="n"/>
      <c r="F82" s="97" t="n"/>
      <c r="G82" s="97" t="n"/>
    </row>
    <row r="83" ht="15.75" customHeight="1" s="163">
      <c r="A83" s="97" t="n"/>
      <c r="B83" s="97" t="n"/>
      <c r="C83" s="97" t="n"/>
      <c r="D83" s="97" t="n"/>
      <c r="E83" s="97" t="n"/>
      <c r="F83" s="97" t="n"/>
      <c r="G83" s="97" t="n"/>
    </row>
    <row r="84" ht="15.75" customHeight="1" s="163">
      <c r="A84" s="97" t="n"/>
      <c r="B84" s="97" t="n"/>
      <c r="C84" s="97" t="n"/>
      <c r="D84" s="97" t="n"/>
      <c r="E84" s="97" t="n"/>
      <c r="F84" s="97" t="n"/>
      <c r="G84" s="97" t="n"/>
    </row>
    <row r="85" ht="15.75" customHeight="1" s="163">
      <c r="A85" s="97" t="n"/>
      <c r="B85" s="97" t="n"/>
      <c r="C85" s="97" t="n"/>
      <c r="D85" s="97" t="n"/>
      <c r="E85" s="97" t="n"/>
      <c r="F85" s="97" t="n"/>
      <c r="G85" s="97" t="n"/>
    </row>
    <row r="86" ht="15.75" customHeight="1" s="163">
      <c r="A86" s="97" t="n"/>
      <c r="B86" s="97" t="n"/>
      <c r="C86" s="97" t="n"/>
      <c r="D86" s="97" t="n"/>
      <c r="E86" s="97" t="n"/>
      <c r="F86" s="97" t="n"/>
      <c r="G86" s="97" t="n"/>
    </row>
    <row r="87" ht="15.75" customHeight="1" s="163">
      <c r="A87" s="97" t="n"/>
      <c r="B87" s="97" t="n"/>
      <c r="C87" s="97" t="n"/>
      <c r="D87" s="97" t="n"/>
      <c r="E87" s="97" t="n"/>
      <c r="F87" s="97" t="n"/>
      <c r="G87" s="97" t="n"/>
    </row>
    <row r="88" ht="15.75" customHeight="1" s="163">
      <c r="A88" s="97" t="n"/>
      <c r="B88" s="97" t="n"/>
      <c r="C88" s="97" t="n"/>
      <c r="D88" s="97" t="n"/>
      <c r="E88" s="97" t="n"/>
      <c r="F88" s="97" t="n"/>
      <c r="G88" s="97" t="n"/>
    </row>
    <row r="89" ht="15.75" customHeight="1" s="163">
      <c r="A89" s="97" t="n"/>
      <c r="B89" s="97" t="n"/>
      <c r="C89" s="97" t="n"/>
      <c r="D89" s="97" t="n"/>
      <c r="E89" s="97" t="n"/>
      <c r="F89" s="97" t="n"/>
      <c r="G89" s="97" t="n"/>
    </row>
    <row r="90" ht="15.75" customHeight="1" s="163">
      <c r="A90" s="97" t="n"/>
      <c r="B90" s="97" t="n"/>
      <c r="C90" s="97" t="n"/>
      <c r="D90" s="97" t="n"/>
      <c r="E90" s="97" t="n"/>
      <c r="F90" s="97" t="n"/>
      <c r="G90" s="97" t="n"/>
    </row>
    <row r="91" ht="15.75" customHeight="1" s="163">
      <c r="A91" s="97" t="n"/>
      <c r="B91" s="97" t="n"/>
      <c r="C91" s="97" t="n"/>
      <c r="D91" s="97" t="n"/>
      <c r="E91" s="97" t="n"/>
      <c r="F91" s="97" t="n"/>
      <c r="G91" s="97" t="n"/>
    </row>
    <row r="92" ht="15.75" customHeight="1" s="163">
      <c r="A92" s="97" t="n"/>
      <c r="B92" s="97" t="n"/>
      <c r="C92" s="97" t="n"/>
      <c r="D92" s="97" t="n"/>
      <c r="E92" s="97" t="n"/>
      <c r="F92" s="97" t="n"/>
      <c r="G92" s="97" t="n"/>
    </row>
    <row r="93" ht="15.75" customHeight="1" s="163">
      <c r="A93" s="97" t="n"/>
      <c r="B93" s="97" t="n"/>
      <c r="C93" s="97" t="n"/>
      <c r="D93" s="97" t="n"/>
      <c r="E93" s="97" t="n"/>
      <c r="F93" s="97" t="n"/>
      <c r="G93" s="97" t="n"/>
    </row>
    <row r="94" ht="15.75" customHeight="1" s="163">
      <c r="A94" s="97" t="n"/>
      <c r="B94" s="97" t="n"/>
      <c r="C94" s="97" t="n"/>
      <c r="D94" s="97" t="n"/>
      <c r="E94" s="97" t="n"/>
      <c r="F94" s="97" t="n"/>
      <c r="G94" s="97" t="n"/>
    </row>
    <row r="95" ht="15.75" customHeight="1" s="163">
      <c r="A95" s="97" t="n"/>
      <c r="B95" s="97" t="n"/>
      <c r="C95" s="97" t="n"/>
      <c r="D95" s="97" t="n"/>
      <c r="E95" s="97" t="n"/>
      <c r="F95" s="97" t="n"/>
      <c r="G95" s="97" t="n"/>
    </row>
    <row r="96" ht="15.75" customHeight="1" s="163">
      <c r="A96" s="97" t="n"/>
      <c r="B96" s="97" t="n"/>
      <c r="C96" s="97" t="n"/>
      <c r="D96" s="97" t="n"/>
      <c r="E96" s="97" t="n"/>
      <c r="F96" s="97" t="n"/>
      <c r="G96" s="97" t="n"/>
    </row>
    <row r="97" ht="15.75" customHeight="1" s="163">
      <c r="A97" s="97" t="n"/>
      <c r="B97" s="97" t="n"/>
      <c r="C97" s="97" t="n"/>
      <c r="D97" s="97" t="n"/>
      <c r="E97" s="97" t="n"/>
      <c r="F97" s="97" t="n"/>
      <c r="G97" s="97" t="n"/>
    </row>
    <row r="98" ht="15.75" customHeight="1" s="163">
      <c r="A98" s="97" t="n"/>
      <c r="B98" s="97" t="n"/>
      <c r="C98" s="97" t="n"/>
      <c r="D98" s="97" t="n"/>
      <c r="E98" s="97" t="n"/>
      <c r="F98" s="97" t="n"/>
      <c r="G98" s="97" t="n"/>
    </row>
    <row r="99" ht="15.75" customHeight="1" s="163">
      <c r="A99" s="97" t="n"/>
      <c r="B99" s="97" t="n"/>
      <c r="C99" s="97" t="n"/>
      <c r="D99" s="97" t="n"/>
      <c r="E99" s="97" t="n"/>
      <c r="F99" s="97" t="n"/>
      <c r="G99" s="97" t="n"/>
    </row>
    <row r="100" ht="15.75" customHeight="1" s="163">
      <c r="A100" s="97" t="n"/>
      <c r="B100" s="97" t="n"/>
      <c r="C100" s="97" t="n"/>
      <c r="D100" s="97" t="n"/>
      <c r="E100" s="97" t="n"/>
      <c r="F100" s="97" t="n"/>
      <c r="G100" s="97" t="n"/>
    </row>
    <row r="101" ht="15.75" customHeight="1" s="163">
      <c r="A101" s="97" t="n"/>
      <c r="B101" s="97" t="n"/>
      <c r="C101" s="97" t="n"/>
      <c r="D101" s="97" t="n"/>
      <c r="E101" s="97" t="n"/>
      <c r="F101" s="97" t="n"/>
      <c r="G101" s="97" t="n"/>
    </row>
    <row r="102" ht="15.75" customHeight="1" s="163">
      <c r="A102" s="97" t="n"/>
      <c r="B102" s="97" t="n"/>
      <c r="C102" s="97" t="n"/>
      <c r="D102" s="97" t="n"/>
      <c r="E102" s="97" t="n"/>
      <c r="F102" s="97" t="n"/>
      <c r="G102" s="97" t="n"/>
    </row>
    <row r="103" ht="15.75" customHeight="1" s="163">
      <c r="A103" s="97" t="n"/>
      <c r="B103" s="97" t="n"/>
      <c r="C103" s="97" t="n"/>
      <c r="D103" s="97" t="n"/>
      <c r="E103" s="97" t="n"/>
      <c r="F103" s="97" t="n"/>
      <c r="G103" s="97" t="n"/>
    </row>
    <row r="104" ht="15.75" customHeight="1" s="163">
      <c r="A104" s="97" t="n"/>
      <c r="B104" s="97" t="n"/>
      <c r="C104" s="97" t="n"/>
      <c r="D104" s="97" t="n"/>
      <c r="E104" s="97" t="n"/>
      <c r="F104" s="97" t="n"/>
      <c r="G104" s="97" t="n"/>
    </row>
    <row r="105" ht="15.75" customHeight="1" s="163">
      <c r="A105" s="97" t="n"/>
      <c r="B105" s="97" t="n"/>
      <c r="C105" s="97" t="n"/>
      <c r="D105" s="97" t="n"/>
      <c r="E105" s="97" t="n"/>
      <c r="F105" s="97" t="n"/>
      <c r="G105" s="97" t="n"/>
    </row>
    <row r="106" ht="15.75" customHeight="1" s="163">
      <c r="A106" s="97" t="n"/>
      <c r="B106" s="97" t="n"/>
      <c r="C106" s="97" t="n"/>
      <c r="D106" s="97" t="n"/>
      <c r="E106" s="97" t="n"/>
      <c r="F106" s="97" t="n"/>
      <c r="G106" s="97" t="n"/>
    </row>
    <row r="107" ht="15.75" customHeight="1" s="163">
      <c r="A107" s="97" t="n"/>
      <c r="B107" s="97" t="n"/>
      <c r="C107" s="97" t="n"/>
      <c r="D107" s="97" t="n"/>
      <c r="E107" s="97" t="n"/>
      <c r="F107" s="97" t="n"/>
      <c r="G107" s="97" t="n"/>
    </row>
    <row r="108" ht="15.75" customHeight="1" s="163">
      <c r="A108" s="97" t="n"/>
      <c r="B108" s="97" t="n"/>
      <c r="C108" s="97" t="n"/>
      <c r="D108" s="97" t="n"/>
      <c r="E108" s="97" t="n"/>
      <c r="F108" s="97" t="n"/>
      <c r="G108" s="97" t="n"/>
    </row>
    <row r="109" ht="15.75" customHeight="1" s="163">
      <c r="A109" s="97" t="n"/>
      <c r="B109" s="97" t="n"/>
      <c r="C109" s="97" t="n"/>
      <c r="D109" s="97" t="n"/>
      <c r="E109" s="97" t="n"/>
      <c r="F109" s="97" t="n"/>
      <c r="G109" s="97" t="n"/>
    </row>
    <row r="110" ht="15.75" customHeight="1" s="163">
      <c r="A110" s="97" t="n"/>
      <c r="B110" s="97" t="n"/>
      <c r="C110" s="97" t="n"/>
      <c r="D110" s="97" t="n"/>
      <c r="E110" s="97" t="n"/>
      <c r="F110" s="97" t="n"/>
      <c r="G110" s="97" t="n"/>
    </row>
    <row r="111" ht="15.75" customHeight="1" s="163">
      <c r="A111" s="97" t="n"/>
      <c r="B111" s="97" t="n"/>
      <c r="C111" s="97" t="n"/>
      <c r="D111" s="97" t="n"/>
      <c r="E111" s="97" t="n"/>
      <c r="F111" s="97" t="n"/>
      <c r="G111" s="97" t="n"/>
    </row>
    <row r="112" ht="15.75" customHeight="1" s="163">
      <c r="A112" s="97" t="n"/>
      <c r="B112" s="97" t="n"/>
      <c r="C112" s="97" t="n"/>
      <c r="D112" s="97" t="n"/>
      <c r="E112" s="97" t="n"/>
      <c r="F112" s="97" t="n"/>
      <c r="G112" s="97" t="n"/>
    </row>
    <row r="113" ht="15.75" customHeight="1" s="163">
      <c r="A113" s="97" t="n"/>
      <c r="B113" s="97" t="n"/>
      <c r="C113" s="97" t="n"/>
      <c r="D113" s="97" t="n"/>
      <c r="E113" s="97" t="n"/>
      <c r="F113" s="97" t="n"/>
      <c r="G113" s="97" t="n"/>
    </row>
    <row r="114" ht="15.75" customHeight="1" s="163">
      <c r="A114" s="97" t="n"/>
      <c r="B114" s="97" t="n"/>
      <c r="C114" s="97" t="n"/>
      <c r="D114" s="97" t="n"/>
      <c r="E114" s="97" t="n"/>
      <c r="F114" s="97" t="n"/>
      <c r="G114" s="97" t="n"/>
    </row>
    <row r="115" ht="15.75" customHeight="1" s="163">
      <c r="A115" s="97" t="n"/>
      <c r="B115" s="97" t="n"/>
      <c r="C115" s="97" t="n"/>
      <c r="D115" s="97" t="n"/>
      <c r="E115" s="97" t="n"/>
      <c r="F115" s="97" t="n"/>
      <c r="G115" s="97" t="n"/>
    </row>
    <row r="116" ht="15.75" customHeight="1" s="163">
      <c r="A116" s="97" t="n"/>
      <c r="B116" s="97" t="n"/>
      <c r="C116" s="97" t="n"/>
      <c r="D116" s="97" t="n"/>
      <c r="E116" s="97" t="n"/>
      <c r="F116" s="97" t="n"/>
      <c r="G116" s="97" t="n"/>
    </row>
    <row r="117" ht="15.75" customHeight="1" s="163">
      <c r="A117" s="97" t="n"/>
      <c r="B117" s="97" t="n"/>
      <c r="C117" s="97" t="n"/>
      <c r="D117" s="97" t="n"/>
      <c r="E117" s="97" t="n"/>
      <c r="F117" s="97" t="n"/>
      <c r="G117" s="97" t="n"/>
    </row>
    <row r="118" ht="15.75" customHeight="1" s="163">
      <c r="A118" s="97" t="n"/>
      <c r="B118" s="97" t="n"/>
      <c r="C118" s="97" t="n"/>
      <c r="D118" s="97" t="n"/>
      <c r="E118" s="97" t="n"/>
      <c r="F118" s="97" t="n"/>
      <c r="G118" s="97" t="n"/>
    </row>
    <row r="119" ht="15.75" customHeight="1" s="163">
      <c r="A119" s="97" t="n"/>
      <c r="B119" s="97" t="n"/>
      <c r="C119" s="97" t="n"/>
      <c r="D119" s="97" t="n"/>
      <c r="E119" s="97" t="n"/>
      <c r="F119" s="97" t="n"/>
      <c r="G119" s="97" t="n"/>
    </row>
    <row r="120" ht="15.75" customHeight="1" s="163">
      <c r="A120" s="97" t="n"/>
      <c r="B120" s="97" t="n"/>
      <c r="C120" s="97" t="n"/>
      <c r="D120" s="97" t="n"/>
      <c r="E120" s="97" t="n"/>
      <c r="F120" s="97" t="n"/>
      <c r="G120" s="97" t="n"/>
    </row>
    <row r="121" ht="15.75" customHeight="1" s="163">
      <c r="A121" s="97" t="n"/>
      <c r="B121" s="97" t="n"/>
      <c r="C121" s="97" t="n"/>
      <c r="D121" s="97" t="n"/>
      <c r="E121" s="97" t="n"/>
      <c r="F121" s="97" t="n"/>
      <c r="G121" s="97" t="n"/>
    </row>
    <row r="122" ht="15.75" customHeight="1" s="163">
      <c r="A122" s="97" t="n"/>
      <c r="B122" s="97" t="n"/>
      <c r="C122" s="97" t="n"/>
      <c r="D122" s="97" t="n"/>
      <c r="E122" s="97" t="n"/>
      <c r="F122" s="97" t="n"/>
      <c r="G122" s="97" t="n"/>
    </row>
    <row r="123" ht="15.75" customHeight="1" s="163">
      <c r="A123" s="97" t="n"/>
      <c r="B123" s="97" t="n"/>
      <c r="C123" s="97" t="n"/>
      <c r="D123" s="97" t="n"/>
      <c r="E123" s="97" t="n"/>
      <c r="F123" s="97" t="n"/>
      <c r="G123" s="97" t="n"/>
    </row>
    <row r="124" ht="15.75" customHeight="1" s="163">
      <c r="A124" s="97" t="n"/>
      <c r="B124" s="97" t="n"/>
      <c r="C124" s="97" t="n"/>
      <c r="D124" s="97" t="n"/>
      <c r="E124" s="97" t="n"/>
      <c r="F124" s="97" t="n"/>
      <c r="G124" s="97" t="n"/>
    </row>
    <row r="125" ht="15.75" customHeight="1" s="163">
      <c r="A125" s="97" t="n"/>
      <c r="B125" s="97" t="n"/>
      <c r="C125" s="97" t="n"/>
      <c r="D125" s="97" t="n"/>
      <c r="E125" s="97" t="n"/>
      <c r="F125" s="97" t="n"/>
      <c r="G125" s="97" t="n"/>
    </row>
    <row r="126" ht="15.75" customHeight="1" s="163">
      <c r="A126" s="97" t="n"/>
      <c r="B126" s="97" t="n"/>
      <c r="C126" s="97" t="n"/>
      <c r="D126" s="97" t="n"/>
      <c r="E126" s="97" t="n"/>
      <c r="F126" s="97" t="n"/>
      <c r="G126" s="97" t="n"/>
    </row>
    <row r="127" ht="15.75" customHeight="1" s="163">
      <c r="A127" s="97" t="n"/>
      <c r="B127" s="97" t="n"/>
      <c r="C127" s="97" t="n"/>
      <c r="D127" s="97" t="n"/>
      <c r="E127" s="97" t="n"/>
      <c r="F127" s="97" t="n"/>
      <c r="G127" s="97" t="n"/>
    </row>
    <row r="128" ht="15.75" customHeight="1" s="163">
      <c r="A128" s="97" t="n"/>
      <c r="B128" s="97" t="n"/>
      <c r="C128" s="97" t="n"/>
      <c r="D128" s="97" t="n"/>
      <c r="E128" s="97" t="n"/>
      <c r="F128" s="97" t="n"/>
      <c r="G128" s="97" t="n"/>
    </row>
    <row r="129" ht="15.75" customHeight="1" s="163">
      <c r="A129" s="97" t="n"/>
      <c r="B129" s="97" t="n"/>
      <c r="C129" s="97" t="n"/>
      <c r="D129" s="97" t="n"/>
      <c r="E129" s="97" t="n"/>
      <c r="F129" s="97" t="n"/>
      <c r="G129" s="97" t="n"/>
    </row>
    <row r="130" ht="15.75" customHeight="1" s="163">
      <c r="A130" s="97" t="n"/>
      <c r="B130" s="97" t="n"/>
      <c r="C130" s="97" t="n"/>
      <c r="D130" s="97" t="n"/>
      <c r="E130" s="97" t="n"/>
      <c r="F130" s="97" t="n"/>
      <c r="G130" s="97" t="n"/>
    </row>
    <row r="131" ht="15.75" customHeight="1" s="163">
      <c r="A131" s="97" t="n"/>
      <c r="B131" s="97" t="n"/>
      <c r="C131" s="97" t="n"/>
      <c r="D131" s="97" t="n"/>
      <c r="E131" s="97" t="n"/>
      <c r="F131" s="97" t="n"/>
      <c r="G131" s="97" t="n"/>
    </row>
    <row r="132" ht="15.75" customHeight="1" s="163">
      <c r="A132" s="97" t="n"/>
      <c r="B132" s="97" t="n"/>
      <c r="C132" s="97" t="n"/>
      <c r="D132" s="97" t="n"/>
      <c r="E132" s="97" t="n"/>
      <c r="F132" s="97" t="n"/>
      <c r="G132" s="97" t="n"/>
    </row>
    <row r="133" ht="15.75" customHeight="1" s="163">
      <c r="A133" s="97" t="n"/>
      <c r="B133" s="97" t="n"/>
      <c r="C133" s="97" t="n"/>
      <c r="D133" s="97" t="n"/>
      <c r="E133" s="97" t="n"/>
      <c r="F133" s="97" t="n"/>
      <c r="G133" s="97" t="n"/>
    </row>
    <row r="134" ht="15.75" customHeight="1" s="163">
      <c r="A134" s="97" t="n"/>
      <c r="B134" s="97" t="n"/>
      <c r="C134" s="97" t="n"/>
      <c r="D134" s="97" t="n"/>
      <c r="E134" s="97" t="n"/>
      <c r="F134" s="97" t="n"/>
      <c r="G134" s="97" t="n"/>
    </row>
    <row r="135" ht="15.75" customHeight="1" s="163">
      <c r="A135" s="97" t="n"/>
      <c r="B135" s="97" t="n"/>
      <c r="C135" s="97" t="n"/>
      <c r="D135" s="97" t="n"/>
      <c r="E135" s="97" t="n"/>
      <c r="F135" s="97" t="n"/>
      <c r="G135" s="97" t="n"/>
    </row>
    <row r="136" ht="15.75" customHeight="1" s="163">
      <c r="A136" s="97" t="n"/>
      <c r="B136" s="97" t="n"/>
      <c r="C136" s="97" t="n"/>
      <c r="D136" s="97" t="n"/>
      <c r="E136" s="97" t="n"/>
      <c r="F136" s="97" t="n"/>
      <c r="G136" s="97" t="n"/>
    </row>
    <row r="137" ht="15.75" customHeight="1" s="163">
      <c r="A137" s="97" t="n"/>
      <c r="B137" s="97" t="n"/>
      <c r="C137" s="97" t="n"/>
      <c r="D137" s="97" t="n"/>
      <c r="E137" s="97" t="n"/>
      <c r="F137" s="97" t="n"/>
      <c r="G137" s="97" t="n"/>
    </row>
    <row r="138" ht="15.75" customHeight="1" s="163">
      <c r="A138" s="97" t="n"/>
      <c r="B138" s="97" t="n"/>
      <c r="C138" s="97" t="n"/>
      <c r="D138" s="97" t="n"/>
      <c r="E138" s="97" t="n"/>
      <c r="F138" s="97" t="n"/>
      <c r="G138" s="97" t="n"/>
    </row>
    <row r="139" ht="15.75" customHeight="1" s="163">
      <c r="A139" s="97" t="n"/>
      <c r="B139" s="97" t="n"/>
      <c r="C139" s="97" t="n"/>
      <c r="D139" s="97" t="n"/>
      <c r="E139" s="97" t="n"/>
      <c r="F139" s="97" t="n"/>
      <c r="G139" s="97" t="n"/>
    </row>
    <row r="140" ht="15.75" customHeight="1" s="163">
      <c r="A140" s="97" t="n"/>
      <c r="B140" s="97" t="n"/>
      <c r="C140" s="97" t="n"/>
      <c r="D140" s="97" t="n"/>
      <c r="E140" s="97" t="n"/>
      <c r="F140" s="97" t="n"/>
      <c r="G140" s="97" t="n"/>
    </row>
    <row r="141" ht="15.75" customHeight="1" s="163">
      <c r="A141" s="97" t="n"/>
      <c r="B141" s="97" t="n"/>
      <c r="C141" s="97" t="n"/>
      <c r="D141" s="97" t="n"/>
      <c r="E141" s="97" t="n"/>
      <c r="F141" s="97" t="n"/>
      <c r="G141" s="97" t="n"/>
    </row>
    <row r="142" ht="15.75" customHeight="1" s="163">
      <c r="A142" s="97" t="n"/>
      <c r="B142" s="97" t="n"/>
      <c r="C142" s="97" t="n"/>
      <c r="D142" s="97" t="n"/>
      <c r="E142" s="97" t="n"/>
      <c r="F142" s="97" t="n"/>
      <c r="G142" s="97" t="n"/>
    </row>
    <row r="143" ht="15.75" customHeight="1" s="163">
      <c r="A143" s="97" t="n"/>
      <c r="B143" s="97" t="n"/>
      <c r="C143" s="97" t="n"/>
      <c r="D143" s="97" t="n"/>
      <c r="E143" s="97" t="n"/>
      <c r="F143" s="97" t="n"/>
      <c r="G143" s="97" t="n"/>
    </row>
    <row r="144" ht="15.75" customHeight="1" s="163">
      <c r="A144" s="97" t="n"/>
      <c r="B144" s="97" t="n"/>
      <c r="C144" s="97" t="n"/>
      <c r="D144" s="97" t="n"/>
      <c r="E144" s="97" t="n"/>
      <c r="F144" s="97" t="n"/>
      <c r="G144" s="97" t="n"/>
    </row>
    <row r="145" ht="15.75" customHeight="1" s="163">
      <c r="A145" s="97" t="n"/>
      <c r="B145" s="97" t="n"/>
      <c r="C145" s="97" t="n"/>
      <c r="D145" s="97" t="n"/>
      <c r="E145" s="97" t="n"/>
      <c r="F145" s="97" t="n"/>
      <c r="G145" s="97" t="n"/>
    </row>
    <row r="146" ht="15.75" customHeight="1" s="163">
      <c r="A146" s="97" t="n"/>
      <c r="B146" s="97" t="n"/>
      <c r="C146" s="97" t="n"/>
      <c r="D146" s="97" t="n"/>
      <c r="E146" s="97" t="n"/>
      <c r="F146" s="97" t="n"/>
      <c r="G146" s="97" t="n"/>
    </row>
    <row r="147" ht="15.75" customHeight="1" s="163">
      <c r="A147" s="97" t="n"/>
      <c r="B147" s="97" t="n"/>
      <c r="C147" s="97" t="n"/>
      <c r="D147" s="97" t="n"/>
      <c r="E147" s="97" t="n"/>
      <c r="F147" s="97" t="n"/>
      <c r="G147" s="97" t="n"/>
    </row>
    <row r="148" ht="15.75" customHeight="1" s="163">
      <c r="A148" s="97" t="n"/>
      <c r="B148" s="97" t="n"/>
      <c r="C148" s="97" t="n"/>
      <c r="D148" s="97" t="n"/>
      <c r="E148" s="97" t="n"/>
      <c r="F148" s="97" t="n"/>
      <c r="G148" s="97" t="n"/>
    </row>
    <row r="149" ht="15.75" customHeight="1" s="163">
      <c r="A149" s="97" t="n"/>
      <c r="B149" s="97" t="n"/>
      <c r="C149" s="97" t="n"/>
      <c r="D149" s="97" t="n"/>
      <c r="E149" s="97" t="n"/>
      <c r="F149" s="97" t="n"/>
      <c r="G149" s="97" t="n"/>
    </row>
    <row r="150" ht="15.75" customHeight="1" s="163">
      <c r="A150" s="97" t="n"/>
      <c r="B150" s="97" t="n"/>
      <c r="C150" s="97" t="n"/>
      <c r="D150" s="97" t="n"/>
      <c r="E150" s="97" t="n"/>
      <c r="F150" s="97" t="n"/>
      <c r="G150" s="97" t="n"/>
    </row>
    <row r="151" ht="15.75" customHeight="1" s="163">
      <c r="A151" s="97" t="n"/>
      <c r="B151" s="97" t="n"/>
      <c r="C151" s="97" t="n"/>
      <c r="D151" s="97" t="n"/>
      <c r="E151" s="97" t="n"/>
      <c r="F151" s="97" t="n"/>
      <c r="G151" s="97" t="n"/>
    </row>
    <row r="152" ht="15.75" customHeight="1" s="163">
      <c r="A152" s="97" t="n"/>
      <c r="B152" s="97" t="n"/>
      <c r="C152" s="97" t="n"/>
      <c r="D152" s="97" t="n"/>
      <c r="E152" s="97" t="n"/>
      <c r="F152" s="97" t="n"/>
      <c r="G152" s="97" t="n"/>
    </row>
    <row r="153" ht="15.75" customHeight="1" s="163">
      <c r="A153" s="97" t="n"/>
      <c r="B153" s="97" t="n"/>
      <c r="C153" s="97" t="n"/>
      <c r="D153" s="97" t="n"/>
      <c r="E153" s="97" t="n"/>
      <c r="F153" s="97" t="n"/>
      <c r="G153" s="97" t="n"/>
    </row>
    <row r="154" ht="15.75" customHeight="1" s="163">
      <c r="A154" s="97" t="n"/>
      <c r="B154" s="97" t="n"/>
      <c r="C154" s="97" t="n"/>
      <c r="D154" s="97" t="n"/>
      <c r="E154" s="97" t="n"/>
      <c r="F154" s="97" t="n"/>
      <c r="G154" s="97" t="n"/>
    </row>
    <row r="155" ht="15.75" customHeight="1" s="163">
      <c r="A155" s="97" t="n"/>
      <c r="B155" s="97" t="n"/>
      <c r="C155" s="97" t="n"/>
      <c r="D155" s="97" t="n"/>
      <c r="E155" s="97" t="n"/>
      <c r="F155" s="97" t="n"/>
      <c r="G155" s="97" t="n"/>
    </row>
    <row r="156" ht="15.75" customHeight="1" s="163">
      <c r="A156" s="97" t="n"/>
      <c r="B156" s="97" t="n"/>
      <c r="C156" s="97" t="n"/>
      <c r="D156" s="97" t="n"/>
      <c r="E156" s="97" t="n"/>
      <c r="F156" s="97" t="n"/>
      <c r="G156" s="97" t="n"/>
    </row>
    <row r="157" ht="15.75" customHeight="1" s="163">
      <c r="A157" s="97" t="n"/>
      <c r="B157" s="97" t="n"/>
      <c r="C157" s="97" t="n"/>
      <c r="D157" s="97" t="n"/>
      <c r="E157" s="97" t="n"/>
      <c r="F157" s="97" t="n"/>
      <c r="G157" s="97" t="n"/>
    </row>
    <row r="158" ht="15.75" customHeight="1" s="163">
      <c r="A158" s="97" t="n"/>
      <c r="B158" s="97" t="n"/>
      <c r="C158" s="97" t="n"/>
      <c r="D158" s="97" t="n"/>
      <c r="E158" s="97" t="n"/>
      <c r="F158" s="97" t="n"/>
      <c r="G158" s="97" t="n"/>
    </row>
    <row r="159" ht="15.75" customHeight="1" s="163">
      <c r="A159" s="97" t="n"/>
      <c r="B159" s="97" t="n"/>
      <c r="C159" s="97" t="n"/>
      <c r="D159" s="97" t="n"/>
      <c r="E159" s="97" t="n"/>
      <c r="F159" s="97" t="n"/>
      <c r="G159" s="97" t="n"/>
    </row>
    <row r="160" ht="15.75" customHeight="1" s="163">
      <c r="A160" s="97" t="n"/>
      <c r="B160" s="97" t="n"/>
      <c r="C160" s="97" t="n"/>
      <c r="D160" s="97" t="n"/>
      <c r="E160" s="97" t="n"/>
      <c r="F160" s="97" t="n"/>
      <c r="G160" s="97" t="n"/>
    </row>
    <row r="161" ht="15.75" customHeight="1" s="163">
      <c r="A161" s="97" t="n"/>
      <c r="B161" s="97" t="n"/>
      <c r="C161" s="97" t="n"/>
      <c r="D161" s="97" t="n"/>
      <c r="E161" s="97" t="n"/>
      <c r="F161" s="97" t="n"/>
      <c r="G161" s="97" t="n"/>
    </row>
    <row r="162" ht="15.75" customHeight="1" s="163">
      <c r="A162" s="97" t="n"/>
      <c r="B162" s="97" t="n"/>
      <c r="C162" s="97" t="n"/>
      <c r="D162" s="97" t="n"/>
      <c r="E162" s="97" t="n"/>
      <c r="F162" s="97" t="n"/>
      <c r="G162" s="97" t="n"/>
    </row>
    <row r="163" ht="15.75" customHeight="1" s="163">
      <c r="A163" s="97" t="n"/>
      <c r="B163" s="97" t="n"/>
      <c r="C163" s="97" t="n"/>
      <c r="D163" s="97" t="n"/>
      <c r="E163" s="97" t="n"/>
      <c r="F163" s="97" t="n"/>
      <c r="G163" s="97" t="n"/>
    </row>
    <row r="164" ht="15.75" customHeight="1" s="163">
      <c r="A164" s="97" t="n"/>
      <c r="B164" s="97" t="n"/>
      <c r="C164" s="97" t="n"/>
      <c r="D164" s="97" t="n"/>
      <c r="E164" s="97" t="n"/>
      <c r="F164" s="97" t="n"/>
      <c r="G164" s="97" t="n"/>
    </row>
    <row r="165" ht="15.75" customHeight="1" s="163">
      <c r="A165" s="97" t="n"/>
      <c r="B165" s="97" t="n"/>
      <c r="C165" s="97" t="n"/>
      <c r="D165" s="97" t="n"/>
      <c r="E165" s="97" t="n"/>
      <c r="F165" s="97" t="n"/>
      <c r="G165" s="97" t="n"/>
    </row>
    <row r="166" ht="15.75" customHeight="1" s="163">
      <c r="A166" s="97" t="n"/>
      <c r="B166" s="97" t="n"/>
      <c r="C166" s="97" t="n"/>
      <c r="D166" s="97" t="n"/>
      <c r="E166" s="97" t="n"/>
      <c r="F166" s="97" t="n"/>
      <c r="G166" s="97" t="n"/>
    </row>
    <row r="167" ht="15.75" customHeight="1" s="163">
      <c r="A167" s="97" t="n"/>
      <c r="B167" s="97" t="n"/>
      <c r="C167" s="97" t="n"/>
      <c r="D167" s="97" t="n"/>
      <c r="E167" s="97" t="n"/>
      <c r="F167" s="97" t="n"/>
      <c r="G167" s="97" t="n"/>
    </row>
    <row r="168" ht="15.75" customHeight="1" s="163">
      <c r="A168" s="97" t="n"/>
      <c r="B168" s="97" t="n"/>
      <c r="C168" s="97" t="n"/>
      <c r="D168" s="97" t="n"/>
      <c r="E168" s="97" t="n"/>
      <c r="F168" s="97" t="n"/>
      <c r="G168" s="97" t="n"/>
    </row>
    <row r="169" ht="15.75" customHeight="1" s="163">
      <c r="A169" s="97" t="n"/>
      <c r="B169" s="97" t="n"/>
      <c r="C169" s="97" t="n"/>
      <c r="D169" s="97" t="n"/>
      <c r="E169" s="97" t="n"/>
      <c r="F169" s="97" t="n"/>
      <c r="G169" s="97" t="n"/>
    </row>
    <row r="170" ht="15.75" customHeight="1" s="163">
      <c r="A170" s="97" t="n"/>
      <c r="B170" s="97" t="n"/>
      <c r="C170" s="97" t="n"/>
      <c r="D170" s="97" t="n"/>
      <c r="E170" s="97" t="n"/>
      <c r="F170" s="97" t="n"/>
      <c r="G170" s="97" t="n"/>
    </row>
    <row r="171" ht="15.75" customHeight="1" s="163">
      <c r="A171" s="97" t="n"/>
      <c r="B171" s="97" t="n"/>
      <c r="C171" s="97" t="n"/>
      <c r="D171" s="97" t="n"/>
      <c r="E171" s="97" t="n"/>
      <c r="F171" s="97" t="n"/>
      <c r="G171" s="97" t="n"/>
    </row>
    <row r="172" ht="15.75" customHeight="1" s="163">
      <c r="A172" s="97" t="n"/>
      <c r="B172" s="97" t="n"/>
      <c r="C172" s="97" t="n"/>
      <c r="D172" s="97" t="n"/>
      <c r="E172" s="97" t="n"/>
      <c r="F172" s="97" t="n"/>
      <c r="G172" s="97" t="n"/>
    </row>
    <row r="173" ht="15.75" customHeight="1" s="163">
      <c r="A173" s="97" t="n"/>
      <c r="B173" s="97" t="n"/>
      <c r="C173" s="97" t="n"/>
      <c r="D173" s="97" t="n"/>
      <c r="E173" s="97" t="n"/>
      <c r="F173" s="97" t="n"/>
      <c r="G173" s="97" t="n"/>
    </row>
    <row r="174" ht="15.75" customHeight="1" s="163">
      <c r="A174" s="97" t="n"/>
      <c r="B174" s="97" t="n"/>
      <c r="C174" s="97" t="n"/>
      <c r="D174" s="97" t="n"/>
      <c r="E174" s="97" t="n"/>
      <c r="F174" s="97" t="n"/>
      <c r="G174" s="97" t="n"/>
    </row>
    <row r="175" ht="15.75" customHeight="1" s="163">
      <c r="A175" s="97" t="n"/>
      <c r="B175" s="97" t="n"/>
      <c r="C175" s="97" t="n"/>
      <c r="D175" s="97" t="n"/>
      <c r="E175" s="97" t="n"/>
      <c r="F175" s="97" t="n"/>
      <c r="G175" s="97" t="n"/>
    </row>
    <row r="176" ht="15.75" customHeight="1" s="163">
      <c r="A176" s="97" t="n"/>
      <c r="B176" s="97" t="n"/>
      <c r="C176" s="97" t="n"/>
      <c r="D176" s="97" t="n"/>
      <c r="E176" s="97" t="n"/>
      <c r="F176" s="97" t="n"/>
      <c r="G176" s="97" t="n"/>
    </row>
    <row r="177" ht="15.75" customHeight="1" s="163">
      <c r="A177" s="97" t="n"/>
      <c r="B177" s="97" t="n"/>
      <c r="C177" s="97" t="n"/>
      <c r="D177" s="97" t="n"/>
      <c r="E177" s="97" t="n"/>
      <c r="F177" s="97" t="n"/>
      <c r="G177" s="97" t="n"/>
    </row>
    <row r="178" ht="15.75" customHeight="1" s="163">
      <c r="A178" s="97" t="n"/>
      <c r="B178" s="97" t="n"/>
      <c r="C178" s="97" t="n"/>
      <c r="D178" s="97" t="n"/>
      <c r="E178" s="97" t="n"/>
      <c r="F178" s="97" t="n"/>
      <c r="G178" s="97" t="n"/>
    </row>
    <row r="179" ht="15.75" customHeight="1" s="163">
      <c r="A179" s="97" t="n"/>
      <c r="B179" s="97" t="n"/>
      <c r="C179" s="97" t="n"/>
      <c r="D179" s="97" t="n"/>
      <c r="E179" s="97" t="n"/>
      <c r="F179" s="97" t="n"/>
      <c r="G179" s="97" t="n"/>
    </row>
    <row r="180" ht="15.75" customHeight="1" s="163">
      <c r="A180" s="97" t="n"/>
      <c r="B180" s="97" t="n"/>
      <c r="C180" s="97" t="n"/>
      <c r="D180" s="97" t="n"/>
      <c r="E180" s="97" t="n"/>
      <c r="F180" s="97" t="n"/>
      <c r="G180" s="97" t="n"/>
    </row>
    <row r="181" ht="15.75" customHeight="1" s="163">
      <c r="A181" s="97" t="n"/>
      <c r="B181" s="97" t="n"/>
      <c r="C181" s="97" t="n"/>
      <c r="D181" s="97" t="n"/>
      <c r="E181" s="97" t="n"/>
      <c r="F181" s="97" t="n"/>
      <c r="G181" s="97" t="n"/>
    </row>
    <row r="182" ht="15.75" customHeight="1" s="163">
      <c r="A182" s="97" t="n"/>
      <c r="B182" s="97" t="n"/>
      <c r="C182" s="97" t="n"/>
      <c r="D182" s="97" t="n"/>
      <c r="E182" s="97" t="n"/>
      <c r="F182" s="97" t="n"/>
      <c r="G182" s="97" t="n"/>
    </row>
    <row r="183" ht="15.75" customHeight="1" s="163">
      <c r="A183" s="97" t="n"/>
      <c r="B183" s="97" t="n"/>
      <c r="C183" s="97" t="n"/>
      <c r="D183" s="97" t="n"/>
      <c r="E183" s="97" t="n"/>
      <c r="F183" s="97" t="n"/>
      <c r="G183" s="97" t="n"/>
    </row>
    <row r="184" ht="15.75" customHeight="1" s="163">
      <c r="A184" s="97" t="n"/>
      <c r="B184" s="97" t="n"/>
      <c r="C184" s="97" t="n"/>
      <c r="D184" s="97" t="n"/>
      <c r="E184" s="97" t="n"/>
      <c r="F184" s="97" t="n"/>
      <c r="G184" s="97" t="n"/>
    </row>
    <row r="185" ht="15.75" customHeight="1" s="163">
      <c r="A185" s="97" t="n"/>
      <c r="B185" s="97" t="n"/>
      <c r="C185" s="97" t="n"/>
      <c r="D185" s="97" t="n"/>
      <c r="E185" s="97" t="n"/>
      <c r="F185" s="97" t="n"/>
      <c r="G185" s="97" t="n"/>
    </row>
    <row r="186" ht="15.75" customHeight="1" s="163">
      <c r="A186" s="97" t="n"/>
      <c r="B186" s="97" t="n"/>
      <c r="C186" s="97" t="n"/>
      <c r="D186" s="97" t="n"/>
      <c r="E186" s="97" t="n"/>
      <c r="F186" s="97" t="n"/>
      <c r="G186" s="97" t="n"/>
    </row>
    <row r="187" ht="15.75" customHeight="1" s="163">
      <c r="A187" s="97" t="n"/>
      <c r="B187" s="97" t="n"/>
      <c r="C187" s="97" t="n"/>
      <c r="D187" s="97" t="n"/>
      <c r="E187" s="97" t="n"/>
      <c r="F187" s="97" t="n"/>
      <c r="G187" s="97" t="n"/>
    </row>
    <row r="188" ht="15.75" customHeight="1" s="163">
      <c r="A188" s="97" t="n"/>
      <c r="B188" s="97" t="n"/>
      <c r="C188" s="97" t="n"/>
      <c r="D188" s="97" t="n"/>
      <c r="E188" s="97" t="n"/>
      <c r="F188" s="97" t="n"/>
      <c r="G188" s="97" t="n"/>
    </row>
    <row r="189" ht="15.75" customHeight="1" s="163">
      <c r="A189" s="97" t="n"/>
      <c r="B189" s="97" t="n"/>
      <c r="C189" s="97" t="n"/>
      <c r="D189" s="97" t="n"/>
      <c r="E189" s="97" t="n"/>
      <c r="F189" s="97" t="n"/>
      <c r="G189" s="97" t="n"/>
    </row>
    <row r="190" ht="15.75" customHeight="1" s="163">
      <c r="A190" s="97" t="n"/>
      <c r="B190" s="97" t="n"/>
      <c r="C190" s="97" t="n"/>
      <c r="D190" s="97" t="n"/>
      <c r="E190" s="97" t="n"/>
      <c r="F190" s="97" t="n"/>
      <c r="G190" s="97" t="n"/>
    </row>
    <row r="191" ht="15.75" customHeight="1" s="163">
      <c r="A191" s="97" t="n"/>
      <c r="B191" s="97" t="n"/>
      <c r="C191" s="97" t="n"/>
      <c r="D191" s="97" t="n"/>
      <c r="E191" s="97" t="n"/>
      <c r="F191" s="97" t="n"/>
      <c r="G191" s="97" t="n"/>
    </row>
    <row r="192" ht="15.75" customHeight="1" s="163">
      <c r="A192" s="97" t="n"/>
      <c r="B192" s="97" t="n"/>
      <c r="C192" s="97" t="n"/>
      <c r="D192" s="97" t="n"/>
      <c r="E192" s="97" t="n"/>
      <c r="F192" s="97" t="n"/>
      <c r="G192" s="97" t="n"/>
    </row>
    <row r="193" ht="15.75" customHeight="1" s="163">
      <c r="A193" s="97" t="n"/>
      <c r="B193" s="97" t="n"/>
      <c r="C193" s="97" t="n"/>
      <c r="D193" s="97" t="n"/>
      <c r="E193" s="97" t="n"/>
      <c r="F193" s="97" t="n"/>
      <c r="G193" s="97" t="n"/>
    </row>
    <row r="194" ht="15.75" customHeight="1" s="163">
      <c r="A194" s="97" t="n"/>
      <c r="B194" s="97" t="n"/>
      <c r="C194" s="97" t="n"/>
      <c r="D194" s="97" t="n"/>
      <c r="E194" s="97" t="n"/>
      <c r="F194" s="97" t="n"/>
      <c r="G194" s="97" t="n"/>
    </row>
    <row r="195" ht="15.75" customHeight="1" s="163">
      <c r="A195" s="97" t="n"/>
      <c r="B195" s="97" t="n"/>
      <c r="C195" s="97" t="n"/>
      <c r="D195" s="97" t="n"/>
      <c r="E195" s="97" t="n"/>
      <c r="F195" s="97" t="n"/>
      <c r="G195" s="97" t="n"/>
    </row>
    <row r="196" ht="15.75" customHeight="1" s="163">
      <c r="A196" s="97" t="n"/>
      <c r="B196" s="97" t="n"/>
      <c r="C196" s="97" t="n"/>
      <c r="D196" s="97" t="n"/>
      <c r="E196" s="97" t="n"/>
      <c r="F196" s="97" t="n"/>
      <c r="G196" s="97" t="n"/>
    </row>
    <row r="197" ht="15.75" customHeight="1" s="163">
      <c r="A197" s="97" t="n"/>
      <c r="B197" s="97" t="n"/>
      <c r="C197" s="97" t="n"/>
      <c r="D197" s="97" t="n"/>
      <c r="E197" s="97" t="n"/>
      <c r="F197" s="97" t="n"/>
      <c r="G197" s="97" t="n"/>
    </row>
    <row r="198" ht="15.75" customHeight="1" s="163">
      <c r="A198" s="97" t="n"/>
      <c r="B198" s="97" t="n"/>
      <c r="C198" s="97" t="n"/>
      <c r="D198" s="97" t="n"/>
      <c r="E198" s="97" t="n"/>
      <c r="F198" s="97" t="n"/>
      <c r="G198" s="97" t="n"/>
    </row>
    <row r="199" ht="15.75" customHeight="1" s="163">
      <c r="A199" s="97" t="n"/>
      <c r="B199" s="97" t="n"/>
      <c r="C199" s="97" t="n"/>
      <c r="D199" s="97" t="n"/>
      <c r="E199" s="97" t="n"/>
      <c r="F199" s="97" t="n"/>
      <c r="G199" s="97" t="n"/>
    </row>
    <row r="200" ht="15.75" customHeight="1" s="163">
      <c r="A200" s="97" t="n"/>
      <c r="B200" s="97" t="n"/>
      <c r="C200" s="97" t="n"/>
      <c r="D200" s="97" t="n"/>
      <c r="E200" s="97" t="n"/>
      <c r="F200" s="97" t="n"/>
      <c r="G200" s="97" t="n"/>
    </row>
    <row r="201" ht="15.75" customHeight="1" s="163">
      <c r="A201" s="97" t="n"/>
      <c r="B201" s="97" t="n"/>
      <c r="C201" s="97" t="n"/>
      <c r="D201" s="97" t="n"/>
      <c r="E201" s="97" t="n"/>
      <c r="F201" s="97" t="n"/>
      <c r="G201" s="97" t="n"/>
    </row>
    <row r="202" ht="15.75" customHeight="1" s="163">
      <c r="A202" s="97" t="n"/>
      <c r="B202" s="97" t="n"/>
      <c r="C202" s="97" t="n"/>
      <c r="D202" s="97" t="n"/>
      <c r="E202" s="97" t="n"/>
      <c r="F202" s="97" t="n"/>
      <c r="G202" s="97" t="n"/>
    </row>
    <row r="203" ht="15.75" customHeight="1" s="163">
      <c r="A203" s="97" t="n"/>
      <c r="B203" s="97" t="n"/>
      <c r="C203" s="97" t="n"/>
      <c r="D203" s="97" t="n"/>
      <c r="E203" s="97" t="n"/>
      <c r="F203" s="97" t="n"/>
      <c r="G203" s="97" t="n"/>
    </row>
    <row r="204" ht="15.75" customHeight="1" s="163">
      <c r="A204" s="97" t="n"/>
      <c r="B204" s="97" t="n"/>
      <c r="C204" s="97" t="n"/>
      <c r="D204" s="97" t="n"/>
      <c r="E204" s="97" t="n"/>
      <c r="F204" s="97" t="n"/>
      <c r="G204" s="97" t="n"/>
    </row>
    <row r="205" ht="15.75" customHeight="1" s="163">
      <c r="A205" s="97" t="n"/>
      <c r="B205" s="97" t="n"/>
      <c r="C205" s="97" t="n"/>
      <c r="D205" s="97" t="n"/>
      <c r="E205" s="97" t="n"/>
      <c r="F205" s="97" t="n"/>
      <c r="G205" s="97" t="n"/>
    </row>
    <row r="206" ht="15.75" customHeight="1" s="163">
      <c r="A206" s="97" t="n"/>
      <c r="B206" s="97" t="n"/>
      <c r="C206" s="97" t="n"/>
      <c r="D206" s="97" t="n"/>
      <c r="E206" s="97" t="n"/>
      <c r="F206" s="97" t="n"/>
      <c r="G206" s="97" t="n"/>
    </row>
    <row r="207" ht="15.75" customHeight="1" s="163">
      <c r="A207" s="97" t="n"/>
      <c r="B207" s="97" t="n"/>
      <c r="C207" s="97" t="n"/>
      <c r="D207" s="97" t="n"/>
      <c r="E207" s="97" t="n"/>
      <c r="F207" s="97" t="n"/>
      <c r="G207" s="97" t="n"/>
    </row>
    <row r="208" ht="15.75" customHeight="1" s="163">
      <c r="A208" s="97" t="n"/>
      <c r="B208" s="97" t="n"/>
      <c r="C208" s="97" t="n"/>
      <c r="D208" s="97" t="n"/>
      <c r="E208" s="97" t="n"/>
      <c r="F208" s="97" t="n"/>
      <c r="G208" s="97" t="n"/>
    </row>
    <row r="209" ht="15.75" customHeight="1" s="163">
      <c r="A209" s="97" t="n"/>
      <c r="B209" s="97" t="n"/>
      <c r="C209" s="97" t="n"/>
      <c r="D209" s="97" t="n"/>
      <c r="E209" s="97" t="n"/>
      <c r="F209" s="97" t="n"/>
      <c r="G209" s="97" t="n"/>
    </row>
    <row r="210" ht="15.75" customHeight="1" s="163">
      <c r="A210" s="97" t="n"/>
      <c r="B210" s="97" t="n"/>
      <c r="C210" s="97" t="n"/>
      <c r="D210" s="97" t="n"/>
      <c r="E210" s="97" t="n"/>
      <c r="F210" s="97" t="n"/>
      <c r="G210" s="97" t="n"/>
    </row>
    <row r="211" ht="15.75" customHeight="1" s="163">
      <c r="A211" s="97" t="n"/>
      <c r="B211" s="97" t="n"/>
      <c r="C211" s="97" t="n"/>
      <c r="D211" s="97" t="n"/>
      <c r="E211" s="97" t="n"/>
      <c r="F211" s="97" t="n"/>
      <c r="G211" s="97" t="n"/>
    </row>
    <row r="212" ht="15.75" customHeight="1" s="163">
      <c r="A212" s="97" t="n"/>
      <c r="B212" s="97" t="n"/>
      <c r="C212" s="97" t="n"/>
      <c r="D212" s="97" t="n"/>
      <c r="E212" s="97" t="n"/>
      <c r="F212" s="97" t="n"/>
      <c r="G212" s="97" t="n"/>
    </row>
    <row r="213" ht="15.75" customHeight="1" s="163">
      <c r="A213" s="97" t="n"/>
      <c r="B213" s="97" t="n"/>
      <c r="C213" s="97" t="n"/>
      <c r="D213" s="97" t="n"/>
      <c r="E213" s="97" t="n"/>
      <c r="F213" s="97" t="n"/>
      <c r="G213" s="97" t="n"/>
    </row>
    <row r="214" ht="15.75" customHeight="1" s="163">
      <c r="A214" s="97" t="n"/>
      <c r="B214" s="97" t="n"/>
      <c r="C214" s="97" t="n"/>
      <c r="D214" s="97" t="n"/>
      <c r="E214" s="97" t="n"/>
      <c r="F214" s="97" t="n"/>
      <c r="G214" s="97" t="n"/>
    </row>
    <row r="215" ht="15.75" customHeight="1" s="163">
      <c r="A215" s="97" t="n"/>
      <c r="B215" s="97" t="n"/>
      <c r="C215" s="97" t="n"/>
      <c r="D215" s="97" t="n"/>
      <c r="E215" s="97" t="n"/>
      <c r="F215" s="97" t="n"/>
      <c r="G215" s="97" t="n"/>
    </row>
    <row r="216" ht="15.75" customHeight="1" s="163">
      <c r="A216" s="97" t="n"/>
      <c r="B216" s="97" t="n"/>
      <c r="C216" s="97" t="n"/>
      <c r="D216" s="97" t="n"/>
      <c r="E216" s="97" t="n"/>
      <c r="F216" s="97" t="n"/>
      <c r="G216" s="97" t="n"/>
    </row>
    <row r="217" ht="15.75" customHeight="1" s="163">
      <c r="A217" s="97" t="n"/>
      <c r="B217" s="97" t="n"/>
      <c r="C217" s="97" t="n"/>
      <c r="D217" s="97" t="n"/>
      <c r="E217" s="97" t="n"/>
      <c r="F217" s="97" t="n"/>
      <c r="G217" s="97" t="n"/>
    </row>
    <row r="218" ht="15.75" customHeight="1" s="163">
      <c r="A218" s="97" t="n"/>
      <c r="B218" s="97" t="n"/>
      <c r="C218" s="97" t="n"/>
      <c r="D218" s="97" t="n"/>
      <c r="E218" s="97" t="n"/>
      <c r="F218" s="97" t="n"/>
      <c r="G218" s="97" t="n"/>
    </row>
    <row r="219" ht="15.75" customHeight="1" s="163">
      <c r="A219" s="97" t="n"/>
      <c r="B219" s="97" t="n"/>
      <c r="C219" s="97" t="n"/>
      <c r="D219" s="97" t="n"/>
      <c r="E219" s="97" t="n"/>
      <c r="F219" s="97" t="n"/>
      <c r="G219" s="97" t="n"/>
    </row>
    <row r="220" ht="15.75" customHeight="1" s="163">
      <c r="A220" s="97" t="n"/>
      <c r="B220" s="97" t="n"/>
      <c r="C220" s="97" t="n"/>
      <c r="D220" s="97" t="n"/>
      <c r="E220" s="97" t="n"/>
      <c r="F220" s="97" t="n"/>
      <c r="G220" s="97" t="n"/>
    </row>
    <row r="221" ht="15.75" customHeight="1" s="163">
      <c r="A221" s="97" t="n"/>
      <c r="B221" s="97" t="n"/>
      <c r="C221" s="97" t="n"/>
      <c r="D221" s="97" t="n"/>
      <c r="E221" s="97" t="n"/>
      <c r="F221" s="97" t="n"/>
      <c r="G221" s="97" t="n"/>
    </row>
    <row r="222" ht="15.75" customHeight="1" s="163">
      <c r="A222" s="97" t="n"/>
      <c r="B222" s="97" t="n"/>
      <c r="C222" s="97" t="n"/>
      <c r="D222" s="97" t="n"/>
      <c r="E222" s="97" t="n"/>
      <c r="F222" s="97" t="n"/>
      <c r="G222" s="97" t="n"/>
    </row>
    <row r="223" ht="15.75" customHeight="1" s="163">
      <c r="A223" s="97" t="n"/>
      <c r="B223" s="97" t="n"/>
      <c r="C223" s="97" t="n"/>
      <c r="D223" s="97" t="n"/>
      <c r="E223" s="97" t="n"/>
      <c r="F223" s="97" t="n"/>
      <c r="G223" s="97" t="n"/>
    </row>
    <row r="224" ht="15.75" customHeight="1" s="163">
      <c r="A224" s="97" t="n"/>
      <c r="B224" s="97" t="n"/>
      <c r="C224" s="97" t="n"/>
      <c r="D224" s="97" t="n"/>
      <c r="E224" s="97" t="n"/>
      <c r="F224" s="97" t="n"/>
      <c r="G224" s="97" t="n"/>
    </row>
    <row r="225" ht="15.75" customHeight="1" s="163">
      <c r="A225" s="97" t="n"/>
      <c r="B225" s="97" t="n"/>
      <c r="C225" s="97" t="n"/>
      <c r="D225" s="97" t="n"/>
      <c r="E225" s="97" t="n"/>
      <c r="F225" s="97" t="n"/>
      <c r="G225" s="97" t="n"/>
    </row>
    <row r="226" ht="15.75" customHeight="1" s="163">
      <c r="A226" s="97" t="n"/>
      <c r="B226" s="97" t="n"/>
      <c r="C226" s="97" t="n"/>
      <c r="D226" s="97" t="n"/>
      <c r="E226" s="97" t="n"/>
      <c r="F226" s="97" t="n"/>
      <c r="G226" s="97" t="n"/>
    </row>
    <row r="227" ht="15.75" customHeight="1" s="163">
      <c r="A227" s="97" t="n"/>
      <c r="B227" s="97" t="n"/>
      <c r="C227" s="97" t="n"/>
      <c r="D227" s="97" t="n"/>
      <c r="E227" s="97" t="n"/>
      <c r="F227" s="97" t="n"/>
      <c r="G227" s="97" t="n"/>
    </row>
    <row r="228" ht="15.75" customHeight="1" s="163">
      <c r="A228" s="97" t="n"/>
      <c r="B228" s="97" t="n"/>
      <c r="C228" s="97" t="n"/>
      <c r="D228" s="97" t="n"/>
      <c r="E228" s="97" t="n"/>
      <c r="F228" s="97" t="n"/>
      <c r="G228" s="97" t="n"/>
    </row>
    <row r="229" ht="15.75" customHeight="1" s="163">
      <c r="A229" s="97" t="n"/>
      <c r="B229" s="97" t="n"/>
      <c r="C229" s="97" t="n"/>
      <c r="D229" s="97" t="n"/>
      <c r="E229" s="97" t="n"/>
      <c r="F229" s="97" t="n"/>
      <c r="G229" s="97" t="n"/>
    </row>
    <row r="230" ht="15.75" customHeight="1" s="163">
      <c r="A230" s="97" t="n"/>
      <c r="B230" s="97" t="n"/>
      <c r="C230" s="97" t="n"/>
      <c r="D230" s="97" t="n"/>
      <c r="E230" s="97" t="n"/>
      <c r="F230" s="97" t="n"/>
      <c r="G230" s="97" t="n"/>
    </row>
    <row r="231" ht="15.75" customHeight="1" s="163">
      <c r="A231" s="97" t="n"/>
      <c r="B231" s="97" t="n"/>
      <c r="C231" s="97" t="n"/>
      <c r="D231" s="97" t="n"/>
      <c r="E231" s="97" t="n"/>
      <c r="F231" s="97" t="n"/>
      <c r="G231" s="97" t="n"/>
    </row>
    <row r="232" ht="15.75" customHeight="1" s="163">
      <c r="A232" s="97" t="n"/>
      <c r="B232" s="97" t="n"/>
      <c r="C232" s="97" t="n"/>
      <c r="D232" s="97" t="n"/>
      <c r="E232" s="97" t="n"/>
      <c r="F232" s="97" t="n"/>
      <c r="G232" s="97" t="n"/>
    </row>
    <row r="233" ht="15.75" customHeight="1" s="163">
      <c r="A233" s="97" t="n"/>
      <c r="B233" s="97" t="n"/>
      <c r="C233" s="97" t="n"/>
      <c r="D233" s="97" t="n"/>
      <c r="E233" s="97" t="n"/>
      <c r="F233" s="97" t="n"/>
      <c r="G233" s="97" t="n"/>
    </row>
    <row r="234" ht="15.75" customHeight="1" s="163">
      <c r="A234" s="97" t="n"/>
      <c r="B234" s="97" t="n"/>
      <c r="C234" s="97" t="n"/>
      <c r="D234" s="97" t="n"/>
      <c r="E234" s="97" t="n"/>
      <c r="F234" s="97" t="n"/>
      <c r="G234" s="97" t="n"/>
    </row>
    <row r="235" ht="15.75" customHeight="1" s="163">
      <c r="A235" s="97" t="n"/>
      <c r="B235" s="97" t="n"/>
      <c r="C235" s="97" t="n"/>
      <c r="D235" s="97" t="n"/>
      <c r="E235" s="97" t="n"/>
      <c r="F235" s="97" t="n"/>
      <c r="G235" s="97" t="n"/>
    </row>
    <row r="236" ht="15.75" customHeight="1" s="163">
      <c r="A236" s="97" t="n"/>
      <c r="B236" s="97" t="n"/>
      <c r="C236" s="97" t="n"/>
      <c r="D236" s="97" t="n"/>
      <c r="E236" s="97" t="n"/>
      <c r="F236" s="97" t="n"/>
      <c r="G236" s="97" t="n"/>
    </row>
    <row r="237" ht="15.75" customHeight="1" s="163">
      <c r="A237" s="97" t="n"/>
      <c r="B237" s="97" t="n"/>
      <c r="C237" s="97" t="n"/>
      <c r="D237" s="97" t="n"/>
      <c r="E237" s="97" t="n"/>
      <c r="F237" s="97" t="n"/>
      <c r="G237" s="97" t="n"/>
    </row>
    <row r="238" ht="15.75" customHeight="1" s="163">
      <c r="A238" s="97" t="n"/>
      <c r="B238" s="97" t="n"/>
      <c r="C238" s="97" t="n"/>
      <c r="D238" s="97" t="n"/>
      <c r="E238" s="97" t="n"/>
      <c r="F238" s="97" t="n"/>
      <c r="G238" s="97" t="n"/>
    </row>
    <row r="239" ht="15.75" customHeight="1" s="163">
      <c r="A239" s="97" t="n"/>
      <c r="B239" s="97" t="n"/>
      <c r="C239" s="97" t="n"/>
      <c r="D239" s="97" t="n"/>
      <c r="E239" s="97" t="n"/>
      <c r="F239" s="97" t="n"/>
      <c r="G239" s="97" t="n"/>
    </row>
    <row r="240" ht="15.75" customHeight="1" s="163">
      <c r="A240" s="97" t="n"/>
      <c r="B240" s="97" t="n"/>
      <c r="C240" s="97" t="n"/>
      <c r="D240" s="97" t="n"/>
      <c r="E240" s="97" t="n"/>
      <c r="F240" s="97" t="n"/>
      <c r="G240" s="97" t="n"/>
    </row>
    <row r="241" ht="15.75" customHeight="1" s="163">
      <c r="A241" s="97" t="n"/>
      <c r="B241" s="97" t="n"/>
      <c r="C241" s="97" t="n"/>
      <c r="D241" s="97" t="n"/>
      <c r="E241" s="97" t="n"/>
      <c r="F241" s="97" t="n"/>
      <c r="G241" s="97" t="n"/>
    </row>
    <row r="242" ht="15.75" customHeight="1" s="163">
      <c r="A242" s="97" t="n"/>
      <c r="B242" s="97" t="n"/>
      <c r="C242" s="97" t="n"/>
      <c r="D242" s="97" t="n"/>
      <c r="E242" s="97" t="n"/>
      <c r="F242" s="97" t="n"/>
      <c r="G242" s="97" t="n"/>
    </row>
    <row r="243" ht="15.75" customHeight="1" s="163">
      <c r="A243" s="97" t="n"/>
      <c r="B243" s="97" t="n"/>
      <c r="C243" s="97" t="n"/>
      <c r="D243" s="97" t="n"/>
      <c r="E243" s="97" t="n"/>
      <c r="F243" s="97" t="n"/>
      <c r="G243" s="97" t="n"/>
    </row>
    <row r="244" ht="15.75" customHeight="1" s="163">
      <c r="A244" s="97" t="n"/>
      <c r="B244" s="97" t="n"/>
      <c r="C244" s="97" t="n"/>
      <c r="D244" s="97" t="n"/>
      <c r="E244" s="97" t="n"/>
      <c r="F244" s="97" t="n"/>
      <c r="G244" s="97" t="n"/>
    </row>
    <row r="245" ht="15.75" customHeight="1" s="163">
      <c r="A245" s="97" t="n"/>
      <c r="B245" s="97" t="n"/>
      <c r="C245" s="97" t="n"/>
      <c r="D245" s="97" t="n"/>
      <c r="E245" s="97" t="n"/>
      <c r="F245" s="97" t="n"/>
      <c r="G245" s="97" t="n"/>
    </row>
    <row r="246" ht="15.75" customHeight="1" s="163">
      <c r="A246" s="97" t="n"/>
      <c r="B246" s="97" t="n"/>
      <c r="C246" s="97" t="n"/>
      <c r="D246" s="97" t="n"/>
      <c r="E246" s="97" t="n"/>
      <c r="F246" s="97" t="n"/>
      <c r="G246" s="97" t="n"/>
    </row>
    <row r="247" ht="15.75" customHeight="1" s="163">
      <c r="A247" s="97" t="n"/>
      <c r="B247" s="97" t="n"/>
      <c r="C247" s="97" t="n"/>
      <c r="D247" s="97" t="n"/>
      <c r="E247" s="97" t="n"/>
      <c r="F247" s="97" t="n"/>
      <c r="G247" s="97" t="n"/>
    </row>
    <row r="248" ht="15.75" customHeight="1" s="163">
      <c r="A248" s="97" t="n"/>
      <c r="B248" s="97" t="n"/>
      <c r="C248" s="97" t="n"/>
      <c r="D248" s="97" t="n"/>
      <c r="E248" s="97" t="n"/>
      <c r="F248" s="97" t="n"/>
      <c r="G248" s="97" t="n"/>
    </row>
    <row r="249" ht="15.75" customHeight="1" s="163">
      <c r="A249" s="97" t="n"/>
      <c r="B249" s="97" t="n"/>
      <c r="C249" s="97" t="n"/>
      <c r="D249" s="97" t="n"/>
      <c r="E249" s="97" t="n"/>
      <c r="F249" s="97" t="n"/>
      <c r="G249" s="97" t="n"/>
    </row>
    <row r="250" ht="15.75" customHeight="1" s="163">
      <c r="A250" s="97" t="n"/>
      <c r="B250" s="97" t="n"/>
      <c r="C250" s="97" t="n"/>
      <c r="D250" s="97" t="n"/>
      <c r="E250" s="97" t="n"/>
      <c r="F250" s="97" t="n"/>
      <c r="G250" s="97" t="n"/>
    </row>
    <row r="251" ht="15.75" customHeight="1" s="163">
      <c r="A251" s="97" t="n"/>
      <c r="B251" s="97" t="n"/>
      <c r="C251" s="97" t="n"/>
      <c r="D251" s="97" t="n"/>
      <c r="E251" s="97" t="n"/>
      <c r="F251" s="97" t="n"/>
      <c r="G251" s="97" t="n"/>
    </row>
    <row r="252" ht="15.75" customHeight="1" s="163">
      <c r="A252" s="97" t="n"/>
      <c r="B252" s="97" t="n"/>
      <c r="C252" s="97" t="n"/>
      <c r="D252" s="97" t="n"/>
      <c r="E252" s="97" t="n"/>
      <c r="F252" s="97" t="n"/>
      <c r="G252" s="97" t="n"/>
    </row>
    <row r="253" ht="15.75" customHeight="1" s="163">
      <c r="A253" s="97" t="n"/>
      <c r="B253" s="97" t="n"/>
      <c r="C253" s="97" t="n"/>
      <c r="D253" s="97" t="n"/>
      <c r="E253" s="97" t="n"/>
      <c r="F253" s="97" t="n"/>
      <c r="G253" s="97" t="n"/>
    </row>
    <row r="254" ht="15.75" customHeight="1" s="163">
      <c r="A254" s="97" t="n"/>
      <c r="B254" s="97" t="n"/>
      <c r="C254" s="97" t="n"/>
      <c r="D254" s="97" t="n"/>
      <c r="E254" s="97" t="n"/>
      <c r="F254" s="97" t="n"/>
      <c r="G254" s="97" t="n"/>
    </row>
    <row r="255" ht="15.75" customHeight="1" s="163">
      <c r="A255" s="97" t="n"/>
      <c r="B255" s="97" t="n"/>
      <c r="C255" s="97" t="n"/>
      <c r="D255" s="97" t="n"/>
      <c r="E255" s="97" t="n"/>
      <c r="F255" s="97" t="n"/>
      <c r="G255" s="97" t="n"/>
    </row>
    <row r="256" ht="15.75" customHeight="1" s="163">
      <c r="A256" s="97" t="n"/>
      <c r="B256" s="97" t="n"/>
      <c r="C256" s="97" t="n"/>
      <c r="D256" s="97" t="n"/>
      <c r="E256" s="97" t="n"/>
      <c r="F256" s="97" t="n"/>
      <c r="G256" s="97" t="n"/>
    </row>
    <row r="257" ht="15.75" customHeight="1" s="163">
      <c r="A257" s="97" t="n"/>
      <c r="B257" s="97" t="n"/>
      <c r="C257" s="97" t="n"/>
      <c r="D257" s="97" t="n"/>
      <c r="E257" s="97" t="n"/>
      <c r="F257" s="97" t="n"/>
      <c r="G257" s="97" t="n"/>
    </row>
    <row r="258" ht="15.75" customHeight="1" s="163">
      <c r="A258" s="97" t="n"/>
      <c r="B258" s="97" t="n"/>
      <c r="C258" s="97" t="n"/>
      <c r="D258" s="97" t="n"/>
      <c r="E258" s="97" t="n"/>
      <c r="F258" s="97" t="n"/>
      <c r="G258" s="97" t="n"/>
    </row>
    <row r="259" ht="15.75" customHeight="1" s="163">
      <c r="A259" s="97" t="n"/>
      <c r="B259" s="97" t="n"/>
      <c r="C259" s="97" t="n"/>
      <c r="D259" s="97" t="n"/>
      <c r="E259" s="97" t="n"/>
      <c r="F259" s="97" t="n"/>
      <c r="G259" s="97" t="n"/>
    </row>
    <row r="260" ht="15.75" customHeight="1" s="163">
      <c r="A260" s="97" t="n"/>
      <c r="B260" s="97" t="n"/>
      <c r="C260" s="97" t="n"/>
      <c r="D260" s="97" t="n"/>
      <c r="E260" s="97" t="n"/>
      <c r="F260" s="97" t="n"/>
      <c r="G260" s="97" t="n"/>
    </row>
    <row r="261" ht="15.75" customHeight="1" s="163">
      <c r="A261" s="97" t="n"/>
      <c r="B261" s="97" t="n"/>
      <c r="C261" s="97" t="n"/>
      <c r="D261" s="97" t="n"/>
      <c r="E261" s="97" t="n"/>
      <c r="F261" s="97" t="n"/>
      <c r="G261" s="97" t="n"/>
    </row>
    <row r="262" ht="15.75" customHeight="1" s="163">
      <c r="A262" s="97" t="n"/>
      <c r="B262" s="97" t="n"/>
      <c r="C262" s="97" t="n"/>
      <c r="D262" s="97" t="n"/>
      <c r="E262" s="97" t="n"/>
      <c r="F262" s="97" t="n"/>
      <c r="G262" s="97" t="n"/>
    </row>
    <row r="263" ht="15.75" customHeight="1" s="163">
      <c r="A263" s="97" t="n"/>
      <c r="B263" s="97" t="n"/>
      <c r="C263" s="97" t="n"/>
      <c r="D263" s="97" t="n"/>
      <c r="E263" s="97" t="n"/>
      <c r="F263" s="97" t="n"/>
      <c r="G263" s="97" t="n"/>
    </row>
    <row r="264" ht="15.75" customHeight="1" s="163">
      <c r="A264" s="97" t="n"/>
      <c r="B264" s="97" t="n"/>
      <c r="C264" s="97" t="n"/>
      <c r="D264" s="97" t="n"/>
      <c r="E264" s="97" t="n"/>
      <c r="F264" s="97" t="n"/>
      <c r="G264" s="97" t="n"/>
    </row>
    <row r="265" ht="15.75" customHeight="1" s="163">
      <c r="A265" s="97" t="n"/>
      <c r="B265" s="97" t="n"/>
      <c r="C265" s="97" t="n"/>
      <c r="D265" s="97" t="n"/>
      <c r="E265" s="97" t="n"/>
      <c r="F265" s="97" t="n"/>
      <c r="G265" s="97" t="n"/>
    </row>
    <row r="266" ht="15.75" customHeight="1" s="163">
      <c r="A266" s="97" t="n"/>
      <c r="B266" s="97" t="n"/>
      <c r="C266" s="97" t="n"/>
      <c r="D266" s="97" t="n"/>
      <c r="E266" s="97" t="n"/>
      <c r="F266" s="97" t="n"/>
      <c r="G266" s="97" t="n"/>
    </row>
    <row r="267" ht="15.75" customHeight="1" s="163">
      <c r="A267" s="97" t="n"/>
      <c r="B267" s="97" t="n"/>
      <c r="C267" s="97" t="n"/>
      <c r="D267" s="97" t="n"/>
      <c r="E267" s="97" t="n"/>
      <c r="F267" s="97" t="n"/>
      <c r="G267" s="97" t="n"/>
    </row>
    <row r="268" ht="15.75" customHeight="1" s="163">
      <c r="A268" s="97" t="n"/>
      <c r="B268" s="97" t="n"/>
      <c r="C268" s="97" t="n"/>
      <c r="D268" s="97" t="n"/>
      <c r="E268" s="97" t="n"/>
      <c r="F268" s="97" t="n"/>
      <c r="G268" s="97" t="n"/>
    </row>
    <row r="269" ht="15.75" customHeight="1" s="163">
      <c r="A269" s="97" t="n"/>
      <c r="B269" s="97" t="n"/>
      <c r="C269" s="97" t="n"/>
      <c r="D269" s="97" t="n"/>
      <c r="E269" s="97" t="n"/>
      <c r="F269" s="97" t="n"/>
      <c r="G269" s="97" t="n"/>
    </row>
    <row r="270" ht="15.75" customHeight="1" s="163">
      <c r="A270" s="97" t="n"/>
      <c r="B270" s="97" t="n"/>
      <c r="C270" s="97" t="n"/>
      <c r="D270" s="97" t="n"/>
      <c r="E270" s="97" t="n"/>
      <c r="F270" s="97" t="n"/>
      <c r="G270" s="97" t="n"/>
    </row>
    <row r="271" ht="15.75" customHeight="1" s="163">
      <c r="A271" s="97" t="n"/>
      <c r="B271" s="97" t="n"/>
      <c r="C271" s="97" t="n"/>
      <c r="D271" s="97" t="n"/>
      <c r="E271" s="97" t="n"/>
      <c r="F271" s="97" t="n"/>
      <c r="G271" s="97" t="n"/>
    </row>
    <row r="272" ht="15.75" customHeight="1" s="163">
      <c r="A272" s="97" t="n"/>
      <c r="B272" s="97" t="n"/>
      <c r="C272" s="97" t="n"/>
      <c r="D272" s="97" t="n"/>
      <c r="E272" s="97" t="n"/>
      <c r="F272" s="97" t="n"/>
      <c r="G272" s="97" t="n"/>
    </row>
    <row r="273" ht="15.75" customHeight="1" s="163">
      <c r="A273" s="97" t="n"/>
      <c r="B273" s="97" t="n"/>
      <c r="C273" s="97" t="n"/>
      <c r="D273" s="97" t="n"/>
      <c r="E273" s="97" t="n"/>
      <c r="F273" s="97" t="n"/>
      <c r="G273" s="97" t="n"/>
    </row>
    <row r="274" ht="15.75" customHeight="1" s="163">
      <c r="A274" s="97" t="n"/>
      <c r="B274" s="97" t="n"/>
      <c r="C274" s="97" t="n"/>
      <c r="D274" s="97" t="n"/>
      <c r="E274" s="97" t="n"/>
      <c r="F274" s="97" t="n"/>
      <c r="G274" s="97" t="n"/>
    </row>
    <row r="275" ht="15.75" customHeight="1" s="163">
      <c r="A275" s="97" t="n"/>
      <c r="B275" s="97" t="n"/>
      <c r="C275" s="97" t="n"/>
      <c r="D275" s="97" t="n"/>
      <c r="E275" s="97" t="n"/>
      <c r="F275" s="97" t="n"/>
      <c r="G275" s="97" t="n"/>
    </row>
    <row r="276" ht="15.75" customHeight="1" s="163">
      <c r="A276" s="97" t="n"/>
      <c r="B276" s="97" t="n"/>
      <c r="C276" s="97" t="n"/>
      <c r="D276" s="97" t="n"/>
      <c r="E276" s="97" t="n"/>
      <c r="F276" s="97" t="n"/>
      <c r="G276" s="97" t="n"/>
    </row>
    <row r="277" ht="15.75" customHeight="1" s="163">
      <c r="A277" s="97" t="n"/>
      <c r="B277" s="97" t="n"/>
      <c r="C277" s="97" t="n"/>
      <c r="D277" s="97" t="n"/>
      <c r="E277" s="97" t="n"/>
      <c r="F277" s="97" t="n"/>
      <c r="G277" s="97" t="n"/>
    </row>
    <row r="278" ht="15.75" customHeight="1" s="163">
      <c r="A278" s="97" t="n"/>
      <c r="B278" s="97" t="n"/>
      <c r="C278" s="97" t="n"/>
      <c r="D278" s="97" t="n"/>
      <c r="E278" s="97" t="n"/>
      <c r="F278" s="97" t="n"/>
      <c r="G278" s="97" t="n"/>
    </row>
    <row r="279" ht="15.75" customHeight="1" s="163">
      <c r="A279" s="97" t="n"/>
      <c r="B279" s="97" t="n"/>
      <c r="C279" s="97" t="n"/>
      <c r="D279" s="97" t="n"/>
      <c r="E279" s="97" t="n"/>
      <c r="F279" s="97" t="n"/>
      <c r="G279" s="97" t="n"/>
    </row>
    <row r="280" ht="15.75" customHeight="1" s="163">
      <c r="A280" s="97" t="n"/>
      <c r="B280" s="97" t="n"/>
      <c r="C280" s="97" t="n"/>
      <c r="D280" s="97" t="n"/>
      <c r="E280" s="97" t="n"/>
      <c r="F280" s="97" t="n"/>
      <c r="G280" s="97" t="n"/>
    </row>
    <row r="281" ht="15.75" customHeight="1" s="163">
      <c r="A281" s="97" t="n"/>
      <c r="B281" s="97" t="n"/>
      <c r="C281" s="97" t="n"/>
      <c r="D281" s="97" t="n"/>
      <c r="E281" s="97" t="n"/>
      <c r="F281" s="97" t="n"/>
      <c r="G281" s="97" t="n"/>
    </row>
    <row r="282" ht="15.75" customHeight="1" s="163">
      <c r="A282" s="97" t="n"/>
      <c r="B282" s="97" t="n"/>
      <c r="C282" s="97" t="n"/>
      <c r="D282" s="97" t="n"/>
      <c r="E282" s="97" t="n"/>
      <c r="F282" s="97" t="n"/>
      <c r="G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  <c r="G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  <c r="G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  <c r="G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  <c r="G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  <c r="G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  <c r="G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  <c r="G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  <c r="G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  <c r="G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  <c r="G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  <c r="G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  <c r="G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  <c r="G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  <c r="G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  <c r="G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  <c r="G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  <c r="G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  <c r="G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  <c r="G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  <c r="G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  <c r="G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  <c r="G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  <c r="G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  <c r="G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  <c r="G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  <c r="G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  <c r="G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  <c r="G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  <c r="G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  <c r="G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  <c r="G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  <c r="G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  <c r="G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  <c r="G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  <c r="G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  <c r="G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  <c r="G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  <c r="G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  <c r="G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  <c r="G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  <c r="G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  <c r="G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  <c r="G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  <c r="G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  <c r="G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  <c r="G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  <c r="G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  <c r="G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  <c r="G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  <c r="G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  <c r="G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  <c r="G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  <c r="G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  <c r="G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  <c r="G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  <c r="G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  <c r="G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  <c r="G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  <c r="G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  <c r="G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  <c r="G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  <c r="G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  <c r="G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  <c r="G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  <c r="G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  <c r="G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  <c r="G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  <c r="G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  <c r="G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  <c r="G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  <c r="G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  <c r="G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  <c r="G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  <c r="G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  <c r="G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  <c r="G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  <c r="G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  <c r="G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  <c r="G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  <c r="G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  <c r="G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  <c r="G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  <c r="G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  <c r="G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  <c r="G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  <c r="G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  <c r="G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  <c r="G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  <c r="G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  <c r="G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  <c r="G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  <c r="G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  <c r="G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  <c r="G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  <c r="G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  <c r="G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  <c r="G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  <c r="G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  <c r="G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  <c r="G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  <c r="G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  <c r="G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  <c r="G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  <c r="G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  <c r="G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  <c r="G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  <c r="G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  <c r="G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  <c r="G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  <c r="G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  <c r="G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  <c r="G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  <c r="G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  <c r="G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  <c r="G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  <c r="G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  <c r="G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  <c r="G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  <c r="G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  <c r="G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  <c r="G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  <c r="G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  <c r="G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  <c r="G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  <c r="G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  <c r="G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  <c r="G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  <c r="G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  <c r="G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  <c r="G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  <c r="G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  <c r="G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  <c r="G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  <c r="G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  <c r="G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  <c r="G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  <c r="G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  <c r="G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  <c r="G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  <c r="G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  <c r="G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  <c r="G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  <c r="G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  <c r="G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  <c r="G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  <c r="G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  <c r="G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  <c r="G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  <c r="G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  <c r="G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  <c r="G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  <c r="G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  <c r="G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  <c r="G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  <c r="G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  <c r="G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  <c r="G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  <c r="G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  <c r="G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  <c r="G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  <c r="G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  <c r="G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  <c r="G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  <c r="G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  <c r="G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  <c r="G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  <c r="G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  <c r="G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  <c r="G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  <c r="G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  <c r="G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  <c r="G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  <c r="G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  <c r="G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  <c r="G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  <c r="G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  <c r="G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  <c r="G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  <c r="G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  <c r="G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  <c r="G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  <c r="G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  <c r="G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  <c r="G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  <c r="G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  <c r="G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  <c r="G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  <c r="G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  <c r="G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  <c r="G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  <c r="G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  <c r="G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  <c r="G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  <c r="G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  <c r="G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  <c r="G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  <c r="G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  <c r="G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  <c r="G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  <c r="G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  <c r="G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  <c r="G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  <c r="G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  <c r="G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  <c r="G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  <c r="G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  <c r="G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  <c r="G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  <c r="G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  <c r="G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  <c r="G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  <c r="G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  <c r="G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  <c r="G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  <c r="G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  <c r="G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  <c r="G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  <c r="G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  <c r="G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  <c r="G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  <c r="G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  <c r="G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  <c r="G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  <c r="G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  <c r="G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  <c r="G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  <c r="G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  <c r="G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  <c r="G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  <c r="G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  <c r="G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  <c r="G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  <c r="G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  <c r="G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  <c r="G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  <c r="G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  <c r="G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  <c r="G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  <c r="G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  <c r="G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  <c r="G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  <c r="G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  <c r="G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  <c r="G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  <c r="G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  <c r="G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  <c r="G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  <c r="G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  <c r="G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  <c r="G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  <c r="G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  <c r="G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  <c r="G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  <c r="G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  <c r="G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  <c r="G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  <c r="G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  <c r="G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  <c r="G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  <c r="G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  <c r="G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  <c r="G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  <c r="G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  <c r="G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  <c r="G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  <c r="G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  <c r="G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  <c r="G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  <c r="G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  <c r="G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  <c r="G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  <c r="G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  <c r="G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  <c r="G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  <c r="G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  <c r="G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  <c r="G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  <c r="G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  <c r="G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  <c r="G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  <c r="G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  <c r="G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  <c r="G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  <c r="G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  <c r="G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  <c r="G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  <c r="G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  <c r="G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  <c r="G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  <c r="G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  <c r="G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  <c r="G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  <c r="G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  <c r="G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  <c r="G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  <c r="G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  <c r="G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  <c r="G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  <c r="G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  <c r="G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  <c r="G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  <c r="G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  <c r="G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  <c r="G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  <c r="G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  <c r="G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  <c r="G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  <c r="G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  <c r="G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  <c r="G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  <c r="G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  <c r="G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  <c r="G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  <c r="G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  <c r="G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  <c r="G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  <c r="G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  <c r="G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  <c r="G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  <c r="G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  <c r="G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  <c r="G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  <c r="G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  <c r="G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  <c r="G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  <c r="G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  <c r="G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  <c r="G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  <c r="G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  <c r="G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  <c r="G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  <c r="G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  <c r="G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  <c r="G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  <c r="G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  <c r="G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  <c r="G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  <c r="G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  <c r="G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  <c r="G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  <c r="G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  <c r="G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  <c r="G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  <c r="G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  <c r="G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  <c r="G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  <c r="G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  <c r="G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  <c r="G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  <c r="G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  <c r="G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  <c r="G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  <c r="G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  <c r="G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  <c r="G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  <c r="G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  <c r="G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  <c r="G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  <c r="G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  <c r="G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  <c r="G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  <c r="G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  <c r="G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  <c r="G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  <c r="G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  <c r="G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  <c r="G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  <c r="G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  <c r="G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  <c r="G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  <c r="G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  <c r="G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  <c r="G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  <c r="G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  <c r="G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  <c r="G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  <c r="G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  <c r="G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  <c r="G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  <c r="G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  <c r="G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  <c r="G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  <c r="G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  <c r="G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  <c r="G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  <c r="G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  <c r="G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  <c r="G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  <c r="G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  <c r="G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  <c r="G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  <c r="G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  <c r="G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  <c r="G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  <c r="G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  <c r="G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  <c r="G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  <c r="G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  <c r="G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  <c r="G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  <c r="G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  <c r="G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  <c r="G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  <c r="G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  <c r="G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  <c r="G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  <c r="G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  <c r="G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  <c r="G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  <c r="G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  <c r="G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  <c r="G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  <c r="G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  <c r="G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  <c r="G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  <c r="G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  <c r="G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  <c r="G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  <c r="G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  <c r="G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  <c r="G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  <c r="G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  <c r="G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  <c r="G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  <c r="G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  <c r="G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  <c r="G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  <c r="G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  <c r="G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  <c r="G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  <c r="G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  <c r="G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  <c r="G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  <c r="G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  <c r="G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  <c r="G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  <c r="G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  <c r="G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  <c r="G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  <c r="G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  <c r="G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  <c r="G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  <c r="G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  <c r="G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  <c r="G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  <c r="G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  <c r="G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  <c r="G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  <c r="G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  <c r="G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  <c r="G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  <c r="G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  <c r="G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  <c r="G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  <c r="G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  <c r="G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  <c r="G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  <c r="G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  <c r="G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  <c r="G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  <c r="G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  <c r="G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  <c r="G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  <c r="G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  <c r="G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  <c r="G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  <c r="G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  <c r="G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  <c r="G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  <c r="G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  <c r="G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  <c r="G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  <c r="G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  <c r="G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  <c r="G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  <c r="G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  <c r="G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  <c r="G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  <c r="G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  <c r="G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  <c r="G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  <c r="G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  <c r="G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  <c r="G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  <c r="G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  <c r="G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  <c r="G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  <c r="G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  <c r="G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  <c r="G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  <c r="G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  <c r="G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  <c r="G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  <c r="G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  <c r="G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  <c r="G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  <c r="G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  <c r="G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  <c r="G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  <c r="G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  <c r="G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  <c r="G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  <c r="G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  <c r="G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  <c r="G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  <c r="G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  <c r="G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  <c r="G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  <c r="G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  <c r="G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  <c r="G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  <c r="G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  <c r="G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  <c r="G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  <c r="G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  <c r="G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  <c r="G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  <c r="G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  <c r="G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  <c r="G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  <c r="G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  <c r="G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  <c r="G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  <c r="G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  <c r="G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  <c r="G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  <c r="G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  <c r="G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  <c r="G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  <c r="G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  <c r="G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  <c r="G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  <c r="G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  <c r="G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  <c r="G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  <c r="G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  <c r="G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  <c r="G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  <c r="G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  <c r="G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  <c r="G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  <c r="G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  <c r="G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  <c r="G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  <c r="G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  <c r="G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  <c r="G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  <c r="G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  <c r="G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  <c r="G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  <c r="G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  <c r="G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  <c r="G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  <c r="G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  <c r="G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  <c r="G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  <c r="G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  <c r="G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  <c r="G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  <c r="G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  <c r="G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  <c r="G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  <c r="G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  <c r="G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  <c r="G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  <c r="G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  <c r="G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  <c r="G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  <c r="G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  <c r="G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  <c r="G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  <c r="G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  <c r="G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  <c r="G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  <c r="G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  <c r="G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  <c r="G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  <c r="G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  <c r="G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  <c r="G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  <c r="G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  <c r="G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  <c r="G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  <c r="G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  <c r="G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  <c r="G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  <c r="G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  <c r="G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  <c r="G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  <c r="G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  <c r="G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  <c r="G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  <c r="G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  <c r="G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  <c r="G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  <c r="G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  <c r="G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  <c r="G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  <c r="G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  <c r="G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  <c r="G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  <c r="G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  <c r="G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  <c r="G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  <c r="G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  <c r="G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  <c r="G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  <c r="G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  <c r="G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  <c r="G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  <c r="G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  <c r="G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  <c r="G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  <c r="G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  <c r="G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  <c r="G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  <c r="G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  <c r="G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  <c r="G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  <c r="G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  <c r="G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  <c r="G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  <c r="G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  <c r="G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  <c r="G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  <c r="G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  <c r="G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  <c r="G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  <c r="G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  <c r="G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  <c r="G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  <c r="G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  <c r="G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  <c r="G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  <c r="G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  <c r="G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  <c r="G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  <c r="G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  <c r="G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  <c r="G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  <c r="G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  <c r="G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  <c r="G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  <c r="G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  <c r="G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  <c r="G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  <c r="G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  <c r="G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  <c r="G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  <c r="G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  <c r="G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  <c r="G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  <c r="G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  <c r="G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  <c r="G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  <c r="G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  <c r="G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  <c r="G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  <c r="G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  <c r="G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  <c r="G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  <c r="G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  <c r="G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  <c r="G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  <c r="G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  <c r="G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  <c r="G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  <c r="G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  <c r="G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  <c r="G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  <c r="G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  <c r="G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  <c r="G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  <c r="G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  <c r="G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  <c r="G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  <c r="G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  <c r="G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  <c r="G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  <c r="G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  <c r="G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  <c r="G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  <c r="G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  <c r="G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  <c r="G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  <c r="G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  <c r="G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  <c r="G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  <c r="G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  <c r="G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  <c r="G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  <c r="G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  <c r="G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  <c r="G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  <c r="G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  <c r="G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  <c r="G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  <c r="G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  <c r="G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  <c r="G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  <c r="G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  <c r="G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  <c r="G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  <c r="G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  <c r="G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  <c r="G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  <c r="G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  <c r="G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  <c r="G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  <c r="G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  <c r="G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  <c r="G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  <c r="G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  <c r="G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  <c r="G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  <c r="G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  <c r="G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  <c r="G1000" s="97" t="n"/>
    </row>
  </sheetData>
  <autoFilter ref="$A$1:$G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2.63" defaultRowHeight="15" customHeight="1"/>
  <cols>
    <col width="40" customWidth="1" style="163" min="1" max="1"/>
    <col width="22" customWidth="1" style="163" min="2" max="2"/>
    <col width="8.630000000000001" customWidth="1" style="163" min="3" max="26"/>
  </cols>
  <sheetData>
    <row r="1">
      <c r="A1" s="101" t="inlineStr">
        <is>
          <t>Параметр</t>
        </is>
      </c>
      <c r="B1" s="101" t="inlineStr">
        <is>
          <t>Значение</t>
        </is>
      </c>
    </row>
    <row r="2">
      <c r="A2" s="102" t="inlineStr">
        <is>
          <t>₽/м² земли (база из каталога)</t>
        </is>
      </c>
      <c r="B2" s="102">
        <f>ROUND(MIN('Каталог'!F2:F11)/B4,0)</f>
        <v/>
      </c>
    </row>
    <row r="3">
      <c r="A3" s="102" t="inlineStr">
        <is>
          <t>Надбавка угловой (₽/м² к дому)</t>
        </is>
      </c>
      <c r="B3" s="102" t="n">
        <v>1000</v>
      </c>
    </row>
    <row r="4">
      <c r="A4" s="102" t="inlineStr">
        <is>
          <t>Участок в базе дома (м²)</t>
        </is>
      </c>
      <c r="B4" s="102" t="n">
        <v>500</v>
      </c>
    </row>
    <row r="5">
      <c r="A5" s="102" t="inlineStr">
        <is>
          <t>Источник ставки</t>
        </is>
      </c>
      <c r="B5" s="102" t="inlineStr">
        <is>
          <t>MIN(дом под ключ) / 500 м²</t>
        </is>
      </c>
    </row>
    <row r="6">
      <c r="A6" s="102" t="inlineStr">
        <is>
          <t>Вид</t>
        </is>
      </c>
      <c r="B6" s="102" t="inlineStr">
        <is>
          <t>₽/м² (если пусто — база)</t>
        </is>
      </c>
    </row>
    <row r="7">
      <c r="A7" s="102" t="inlineStr">
        <is>
          <t>Виноградники / лиман / вулканы</t>
        </is>
      </c>
      <c r="B7" s="97" t="n"/>
    </row>
    <row r="8">
      <c r="A8" s="102" t="inlineStr">
        <is>
          <t>Вид на море</t>
        </is>
      </c>
      <c r="B8" s="97" t="n"/>
    </row>
    <row r="9">
      <c r="A9" s="102" t="inlineStr">
        <is>
          <t>Панорама</t>
        </is>
      </c>
      <c r="B9" s="97" t="n"/>
    </row>
    <row r="10">
      <c r="A10" s="97" t="n"/>
      <c r="B10" s="97" t="n"/>
    </row>
    <row r="11">
      <c r="A11" s="97" t="n"/>
      <c r="B11" s="97" t="n"/>
    </row>
    <row r="12">
      <c r="A12" s="97" t="n"/>
      <c r="B12" s="97" t="n"/>
    </row>
    <row r="13">
      <c r="A13" s="97" t="n"/>
      <c r="B13" s="97" t="n"/>
    </row>
    <row r="14">
      <c r="A14" s="97" t="n"/>
      <c r="B14" s="97" t="n"/>
    </row>
    <row r="15">
      <c r="A15" s="97" t="n"/>
      <c r="B15" s="97" t="n"/>
    </row>
    <row r="16">
      <c r="A16" s="97" t="n"/>
      <c r="B16" s="97" t="n"/>
    </row>
    <row r="17">
      <c r="A17" s="97" t="n"/>
      <c r="B17" s="97" t="n"/>
    </row>
    <row r="18">
      <c r="A18" s="97" t="n"/>
      <c r="B18" s="97" t="n"/>
    </row>
    <row r="19">
      <c r="A19" s="97" t="n"/>
      <c r="B19" s="97" t="n"/>
    </row>
    <row r="20">
      <c r="A20" s="97" t="n"/>
      <c r="B20" s="97" t="n"/>
    </row>
    <row r="21" ht="15.75" customHeight="1" s="163">
      <c r="A21" s="97" t="n"/>
      <c r="B21" s="97" t="n"/>
    </row>
    <row r="22" ht="15.75" customHeight="1" s="163">
      <c r="A22" s="97" t="n"/>
      <c r="B22" s="97" t="n"/>
    </row>
    <row r="23" ht="15.75" customHeight="1" s="163">
      <c r="A23" s="97" t="n"/>
      <c r="B23" s="97" t="n"/>
    </row>
    <row r="24" ht="15.75" customHeight="1" s="163">
      <c r="A24" s="97" t="n"/>
      <c r="B24" s="97" t="n"/>
    </row>
    <row r="25" ht="15.75" customHeight="1" s="163">
      <c r="A25" s="97" t="n"/>
      <c r="B25" s="97" t="n"/>
    </row>
    <row r="26" ht="15.75" customHeight="1" s="163">
      <c r="A26" s="97" t="n"/>
      <c r="B26" s="97" t="n"/>
    </row>
    <row r="27" ht="15.75" customHeight="1" s="163">
      <c r="A27" s="97" t="n"/>
      <c r="B27" s="97" t="n"/>
    </row>
    <row r="28" ht="15.75" customHeight="1" s="163">
      <c r="A28" s="97" t="n"/>
      <c r="B28" s="97" t="n"/>
    </row>
    <row r="29" ht="15.75" customHeight="1" s="163">
      <c r="A29" s="97" t="n"/>
      <c r="B29" s="97" t="n"/>
    </row>
    <row r="30" ht="15.75" customHeight="1" s="163">
      <c r="A30" s="97" t="n"/>
      <c r="B30" s="97" t="n"/>
    </row>
    <row r="31" ht="15.75" customHeight="1" s="163">
      <c r="A31" s="97" t="n"/>
      <c r="B31" s="97" t="n"/>
    </row>
    <row r="32" ht="15.75" customHeight="1" s="163">
      <c r="A32" s="97" t="n"/>
      <c r="B32" s="97" t="n"/>
    </row>
    <row r="33" ht="15.75" customHeight="1" s="163">
      <c r="A33" s="97" t="n"/>
      <c r="B33" s="97" t="n"/>
    </row>
    <row r="34" ht="15.75" customHeight="1" s="163">
      <c r="A34" s="97" t="n"/>
      <c r="B34" s="97" t="n"/>
    </row>
    <row r="35" ht="15.75" customHeight="1" s="163">
      <c r="A35" s="97" t="n"/>
      <c r="B35" s="97" t="n"/>
    </row>
    <row r="36" ht="15.75" customHeight="1" s="163">
      <c r="A36" s="97" t="n"/>
      <c r="B36" s="97" t="n"/>
    </row>
    <row r="37" ht="15.75" customHeight="1" s="163">
      <c r="A37" s="97" t="n"/>
      <c r="B37" s="97" t="n"/>
    </row>
    <row r="38" ht="15.75" customHeight="1" s="163">
      <c r="A38" s="97" t="n"/>
      <c r="B38" s="97" t="n"/>
    </row>
    <row r="39" ht="15.75" customHeight="1" s="163">
      <c r="A39" s="97" t="n"/>
      <c r="B39" s="97" t="n"/>
    </row>
    <row r="40" ht="15.75" customHeight="1" s="163">
      <c r="A40" s="97" t="n"/>
      <c r="B40" s="97" t="n"/>
    </row>
    <row r="41" ht="15.75" customHeight="1" s="163">
      <c r="A41" s="97" t="n"/>
      <c r="B41" s="97" t="n"/>
    </row>
    <row r="42" ht="15.75" customHeight="1" s="163">
      <c r="A42" s="97" t="n"/>
      <c r="B42" s="97" t="n"/>
    </row>
    <row r="43" ht="15.75" customHeight="1" s="163">
      <c r="A43" s="97" t="n"/>
      <c r="B43" s="97" t="n"/>
    </row>
    <row r="44" ht="15.75" customHeight="1" s="163">
      <c r="A44" s="97" t="n"/>
      <c r="B44" s="97" t="n"/>
    </row>
    <row r="45" ht="15.75" customHeight="1" s="163">
      <c r="A45" s="97" t="n"/>
      <c r="B45" s="97" t="n"/>
    </row>
    <row r="46" ht="15.75" customHeight="1" s="163">
      <c r="A46" s="97" t="n"/>
      <c r="B46" s="97" t="n"/>
    </row>
    <row r="47" ht="15.75" customHeight="1" s="163">
      <c r="A47" s="97" t="n"/>
      <c r="B47" s="97" t="n"/>
    </row>
    <row r="48" ht="15.75" customHeight="1" s="163">
      <c r="A48" s="97" t="n"/>
      <c r="B48" s="97" t="n"/>
    </row>
    <row r="49" ht="15.75" customHeight="1" s="163">
      <c r="A49" s="97" t="n"/>
      <c r="B49" s="97" t="n"/>
    </row>
    <row r="50" ht="15.75" customHeight="1" s="163">
      <c r="A50" s="97" t="n"/>
      <c r="B50" s="97" t="n"/>
    </row>
    <row r="51" ht="15.75" customHeight="1" s="163">
      <c r="A51" s="97" t="n"/>
      <c r="B51" s="97" t="n"/>
    </row>
    <row r="52" ht="15.75" customHeight="1" s="163">
      <c r="A52" s="97" t="n"/>
      <c r="B52" s="97" t="n"/>
    </row>
    <row r="53" ht="15.75" customHeight="1" s="163">
      <c r="A53" s="97" t="n"/>
      <c r="B53" s="97" t="n"/>
    </row>
    <row r="54" ht="15.75" customHeight="1" s="163">
      <c r="A54" s="97" t="n"/>
      <c r="B54" s="97" t="n"/>
    </row>
    <row r="55" ht="15.75" customHeight="1" s="163">
      <c r="A55" s="97" t="n"/>
      <c r="B55" s="97" t="n"/>
    </row>
    <row r="56" ht="15.75" customHeight="1" s="163">
      <c r="A56" s="97" t="n"/>
      <c r="B56" s="97" t="n"/>
    </row>
    <row r="57" ht="15.75" customHeight="1" s="163">
      <c r="A57" s="97" t="n"/>
      <c r="B57" s="97" t="n"/>
    </row>
    <row r="58" ht="15.75" customHeight="1" s="163">
      <c r="A58" s="97" t="n"/>
      <c r="B58" s="97" t="n"/>
    </row>
    <row r="59" ht="15.75" customHeight="1" s="163">
      <c r="A59" s="97" t="n"/>
      <c r="B59" s="97" t="n"/>
    </row>
    <row r="60" ht="15.75" customHeight="1" s="163">
      <c r="A60" s="97" t="n"/>
      <c r="B60" s="97" t="n"/>
    </row>
    <row r="61" ht="15.75" customHeight="1" s="163">
      <c r="A61" s="97" t="n"/>
      <c r="B61" s="97" t="n"/>
    </row>
    <row r="62" ht="15.75" customHeight="1" s="163">
      <c r="A62" s="97" t="n"/>
      <c r="B62" s="97" t="n"/>
    </row>
    <row r="63" ht="15.75" customHeight="1" s="163">
      <c r="A63" s="97" t="n"/>
      <c r="B63" s="97" t="n"/>
    </row>
    <row r="64" ht="15.75" customHeight="1" s="163">
      <c r="A64" s="97" t="n"/>
      <c r="B64" s="97" t="n"/>
    </row>
    <row r="65" ht="15.75" customHeight="1" s="163">
      <c r="A65" s="97" t="n"/>
      <c r="B65" s="97" t="n"/>
    </row>
    <row r="66" ht="15.75" customHeight="1" s="163">
      <c r="A66" s="97" t="n"/>
      <c r="B66" s="97" t="n"/>
    </row>
    <row r="67" ht="15.75" customHeight="1" s="163">
      <c r="A67" s="97" t="n"/>
      <c r="B67" s="97" t="n"/>
    </row>
    <row r="68" ht="15.75" customHeight="1" s="163">
      <c r="A68" s="97" t="n"/>
      <c r="B68" s="97" t="n"/>
    </row>
    <row r="69" ht="15.75" customHeight="1" s="163">
      <c r="A69" s="97" t="n"/>
      <c r="B69" s="97" t="n"/>
    </row>
    <row r="70" ht="15.75" customHeight="1" s="163">
      <c r="A70" s="97" t="n"/>
      <c r="B70" s="97" t="n"/>
    </row>
    <row r="71" ht="15.75" customHeight="1" s="163">
      <c r="A71" s="97" t="n"/>
      <c r="B71" s="97" t="n"/>
    </row>
    <row r="72" ht="15.75" customHeight="1" s="163">
      <c r="A72" s="97" t="n"/>
      <c r="B72" s="97" t="n"/>
    </row>
    <row r="73" ht="15.75" customHeight="1" s="163">
      <c r="A73" s="97" t="n"/>
      <c r="B73" s="97" t="n"/>
    </row>
    <row r="74" ht="15.75" customHeight="1" s="163">
      <c r="A74" s="97" t="n"/>
      <c r="B74" s="97" t="n"/>
    </row>
    <row r="75" ht="15.75" customHeight="1" s="163">
      <c r="A75" s="97" t="n"/>
      <c r="B75" s="97" t="n"/>
    </row>
    <row r="76" ht="15.75" customHeight="1" s="163">
      <c r="A76" s="97" t="n"/>
      <c r="B76" s="97" t="n"/>
    </row>
    <row r="77" ht="15.75" customHeight="1" s="163">
      <c r="A77" s="97" t="n"/>
      <c r="B77" s="97" t="n"/>
    </row>
    <row r="78" ht="15.75" customHeight="1" s="163">
      <c r="A78" s="97" t="n"/>
      <c r="B78" s="97" t="n"/>
    </row>
    <row r="79" ht="15.75" customHeight="1" s="163">
      <c r="A79" s="97" t="n"/>
      <c r="B79" s="97" t="n"/>
    </row>
    <row r="80" ht="15.75" customHeight="1" s="163">
      <c r="A80" s="97" t="n"/>
      <c r="B80" s="97" t="n"/>
    </row>
    <row r="81" ht="15.75" customHeight="1" s="163">
      <c r="A81" s="97" t="n"/>
      <c r="B81" s="97" t="n"/>
    </row>
    <row r="82" ht="15.75" customHeight="1" s="163">
      <c r="A82" s="97" t="n"/>
      <c r="B82" s="97" t="n"/>
    </row>
    <row r="83" ht="15.75" customHeight="1" s="163">
      <c r="A83" s="97" t="n"/>
      <c r="B83" s="97" t="n"/>
    </row>
    <row r="84" ht="15.75" customHeight="1" s="163">
      <c r="A84" s="97" t="n"/>
      <c r="B84" s="97" t="n"/>
    </row>
    <row r="85" ht="15.75" customHeight="1" s="163">
      <c r="A85" s="97" t="n"/>
      <c r="B85" s="97" t="n"/>
    </row>
    <row r="86" ht="15.75" customHeight="1" s="163">
      <c r="A86" s="97" t="n"/>
      <c r="B86" s="97" t="n"/>
    </row>
    <row r="87" ht="15.75" customHeight="1" s="163">
      <c r="A87" s="97" t="n"/>
      <c r="B87" s="97" t="n"/>
    </row>
    <row r="88" ht="15.75" customHeight="1" s="163">
      <c r="A88" s="97" t="n"/>
      <c r="B88" s="97" t="n"/>
    </row>
    <row r="89" ht="15.75" customHeight="1" s="163">
      <c r="A89" s="97" t="n"/>
      <c r="B89" s="97" t="n"/>
    </row>
    <row r="90" ht="15.75" customHeight="1" s="163">
      <c r="A90" s="97" t="n"/>
      <c r="B90" s="97" t="n"/>
    </row>
    <row r="91" ht="15.75" customHeight="1" s="163">
      <c r="A91" s="97" t="n"/>
      <c r="B91" s="97" t="n"/>
    </row>
    <row r="92" ht="15.75" customHeight="1" s="163">
      <c r="A92" s="97" t="n"/>
      <c r="B92" s="97" t="n"/>
    </row>
    <row r="93" ht="15.75" customHeight="1" s="163">
      <c r="A93" s="97" t="n"/>
      <c r="B93" s="97" t="n"/>
    </row>
    <row r="94" ht="15.75" customHeight="1" s="163">
      <c r="A94" s="97" t="n"/>
      <c r="B94" s="97" t="n"/>
    </row>
    <row r="95" ht="15.75" customHeight="1" s="163">
      <c r="A95" s="97" t="n"/>
      <c r="B95" s="97" t="n"/>
    </row>
    <row r="96" ht="15.75" customHeight="1" s="163">
      <c r="A96" s="97" t="n"/>
      <c r="B96" s="97" t="n"/>
    </row>
    <row r="97" ht="15.75" customHeight="1" s="163">
      <c r="A97" s="97" t="n"/>
      <c r="B97" s="97" t="n"/>
    </row>
    <row r="98" ht="15.75" customHeight="1" s="163">
      <c r="A98" s="97" t="n"/>
      <c r="B98" s="97" t="n"/>
    </row>
    <row r="99" ht="15.75" customHeight="1" s="163">
      <c r="A99" s="97" t="n"/>
      <c r="B99" s="97" t="n"/>
    </row>
    <row r="100" ht="15.75" customHeight="1" s="163">
      <c r="A100" s="97" t="n"/>
      <c r="B100" s="97" t="n"/>
    </row>
    <row r="101" ht="15.75" customHeight="1" s="163">
      <c r="A101" s="97" t="n"/>
      <c r="B101" s="97" t="n"/>
    </row>
    <row r="102" ht="15.75" customHeight="1" s="163">
      <c r="A102" s="97" t="n"/>
      <c r="B102" s="97" t="n"/>
    </row>
    <row r="103" ht="15.75" customHeight="1" s="163">
      <c r="A103" s="97" t="n"/>
      <c r="B103" s="97" t="n"/>
    </row>
    <row r="104" ht="15.75" customHeight="1" s="163">
      <c r="A104" s="97" t="n"/>
      <c r="B104" s="97" t="n"/>
    </row>
    <row r="105" ht="15.75" customHeight="1" s="163">
      <c r="A105" s="97" t="n"/>
      <c r="B105" s="97" t="n"/>
    </row>
    <row r="106" ht="15.75" customHeight="1" s="163">
      <c r="A106" s="97" t="n"/>
      <c r="B106" s="97" t="n"/>
    </row>
    <row r="107" ht="15.75" customHeight="1" s="163">
      <c r="A107" s="97" t="n"/>
      <c r="B107" s="97" t="n"/>
    </row>
    <row r="108" ht="15.75" customHeight="1" s="163">
      <c r="A108" s="97" t="n"/>
      <c r="B108" s="97" t="n"/>
    </row>
    <row r="109" ht="15.75" customHeight="1" s="163">
      <c r="A109" s="97" t="n"/>
      <c r="B109" s="97" t="n"/>
    </row>
    <row r="110" ht="15.75" customHeight="1" s="163">
      <c r="A110" s="97" t="n"/>
      <c r="B110" s="97" t="n"/>
    </row>
    <row r="111" ht="15.75" customHeight="1" s="163">
      <c r="A111" s="97" t="n"/>
      <c r="B111" s="97" t="n"/>
    </row>
    <row r="112" ht="15.75" customHeight="1" s="163">
      <c r="A112" s="97" t="n"/>
      <c r="B112" s="97" t="n"/>
    </row>
    <row r="113" ht="15.75" customHeight="1" s="163">
      <c r="A113" s="97" t="n"/>
      <c r="B113" s="97" t="n"/>
    </row>
    <row r="114" ht="15.75" customHeight="1" s="163">
      <c r="A114" s="97" t="n"/>
      <c r="B114" s="97" t="n"/>
    </row>
    <row r="115" ht="15.75" customHeight="1" s="163">
      <c r="A115" s="97" t="n"/>
      <c r="B115" s="97" t="n"/>
    </row>
    <row r="116" ht="15.75" customHeight="1" s="163">
      <c r="A116" s="97" t="n"/>
      <c r="B116" s="97" t="n"/>
    </row>
    <row r="117" ht="15.75" customHeight="1" s="163">
      <c r="A117" s="97" t="n"/>
      <c r="B117" s="97" t="n"/>
    </row>
    <row r="118" ht="15.75" customHeight="1" s="163">
      <c r="A118" s="97" t="n"/>
      <c r="B118" s="97" t="n"/>
    </row>
    <row r="119" ht="15.75" customHeight="1" s="163">
      <c r="A119" s="97" t="n"/>
      <c r="B119" s="97" t="n"/>
    </row>
    <row r="120" ht="15.75" customHeight="1" s="163">
      <c r="A120" s="97" t="n"/>
      <c r="B120" s="97" t="n"/>
    </row>
    <row r="121" ht="15.75" customHeight="1" s="163">
      <c r="A121" s="97" t="n"/>
      <c r="B121" s="97" t="n"/>
    </row>
    <row r="122" ht="15.75" customHeight="1" s="163">
      <c r="A122" s="97" t="n"/>
      <c r="B122" s="97" t="n"/>
    </row>
    <row r="123" ht="15.75" customHeight="1" s="163">
      <c r="A123" s="97" t="n"/>
      <c r="B123" s="97" t="n"/>
    </row>
    <row r="124" ht="15.75" customHeight="1" s="163">
      <c r="A124" s="97" t="n"/>
      <c r="B124" s="97" t="n"/>
    </row>
    <row r="125" ht="15.75" customHeight="1" s="163">
      <c r="A125" s="97" t="n"/>
      <c r="B125" s="97" t="n"/>
    </row>
    <row r="126" ht="15.75" customHeight="1" s="163">
      <c r="A126" s="97" t="n"/>
      <c r="B126" s="97" t="n"/>
    </row>
    <row r="127" ht="15.75" customHeight="1" s="163">
      <c r="A127" s="97" t="n"/>
      <c r="B127" s="97" t="n"/>
    </row>
    <row r="128" ht="15.75" customHeight="1" s="163">
      <c r="A128" s="97" t="n"/>
      <c r="B128" s="97" t="n"/>
    </row>
    <row r="129" ht="15.75" customHeight="1" s="163">
      <c r="A129" s="97" t="n"/>
      <c r="B129" s="97" t="n"/>
    </row>
    <row r="130" ht="15.75" customHeight="1" s="163">
      <c r="A130" s="97" t="n"/>
      <c r="B130" s="97" t="n"/>
    </row>
    <row r="131" ht="15.75" customHeight="1" s="163">
      <c r="A131" s="97" t="n"/>
      <c r="B131" s="97" t="n"/>
    </row>
    <row r="132" ht="15.75" customHeight="1" s="163">
      <c r="A132" s="97" t="n"/>
      <c r="B132" s="97" t="n"/>
    </row>
    <row r="133" ht="15.75" customHeight="1" s="163">
      <c r="A133" s="97" t="n"/>
      <c r="B133" s="97" t="n"/>
    </row>
    <row r="134" ht="15.75" customHeight="1" s="163">
      <c r="A134" s="97" t="n"/>
      <c r="B134" s="97" t="n"/>
    </row>
    <row r="135" ht="15.75" customHeight="1" s="163">
      <c r="A135" s="97" t="n"/>
      <c r="B135" s="97" t="n"/>
    </row>
    <row r="136" ht="15.75" customHeight="1" s="163">
      <c r="A136" s="97" t="n"/>
      <c r="B136" s="97" t="n"/>
    </row>
    <row r="137" ht="15.75" customHeight="1" s="163">
      <c r="A137" s="97" t="n"/>
      <c r="B137" s="97" t="n"/>
    </row>
    <row r="138" ht="15.75" customHeight="1" s="163">
      <c r="A138" s="97" t="n"/>
      <c r="B138" s="97" t="n"/>
    </row>
    <row r="139" ht="15.75" customHeight="1" s="163">
      <c r="A139" s="97" t="n"/>
      <c r="B139" s="97" t="n"/>
    </row>
    <row r="140" ht="15.75" customHeight="1" s="163">
      <c r="A140" s="97" t="n"/>
      <c r="B140" s="97" t="n"/>
    </row>
    <row r="141" ht="15.75" customHeight="1" s="163">
      <c r="A141" s="97" t="n"/>
      <c r="B141" s="97" t="n"/>
    </row>
    <row r="142" ht="15.75" customHeight="1" s="163">
      <c r="A142" s="97" t="n"/>
      <c r="B142" s="97" t="n"/>
    </row>
    <row r="143" ht="15.75" customHeight="1" s="163">
      <c r="A143" s="97" t="n"/>
      <c r="B143" s="97" t="n"/>
    </row>
    <row r="144" ht="15.75" customHeight="1" s="163">
      <c r="A144" s="97" t="n"/>
      <c r="B144" s="97" t="n"/>
    </row>
    <row r="145" ht="15.75" customHeight="1" s="163">
      <c r="A145" s="97" t="n"/>
      <c r="B145" s="97" t="n"/>
    </row>
    <row r="146" ht="15.75" customHeight="1" s="163">
      <c r="A146" s="97" t="n"/>
      <c r="B146" s="97" t="n"/>
    </row>
    <row r="147" ht="15.75" customHeight="1" s="163">
      <c r="A147" s="97" t="n"/>
      <c r="B147" s="97" t="n"/>
    </row>
    <row r="148" ht="15.75" customHeight="1" s="163">
      <c r="A148" s="97" t="n"/>
      <c r="B148" s="97" t="n"/>
    </row>
    <row r="149" ht="15.75" customHeight="1" s="163">
      <c r="A149" s="97" t="n"/>
      <c r="B149" s="97" t="n"/>
    </row>
    <row r="150" ht="15.75" customHeight="1" s="163">
      <c r="A150" s="97" t="n"/>
      <c r="B150" s="97" t="n"/>
    </row>
    <row r="151" ht="15.75" customHeight="1" s="163">
      <c r="A151" s="97" t="n"/>
      <c r="B151" s="97" t="n"/>
    </row>
    <row r="152" ht="15.75" customHeight="1" s="163">
      <c r="A152" s="97" t="n"/>
      <c r="B152" s="97" t="n"/>
    </row>
    <row r="153" ht="15.75" customHeight="1" s="163">
      <c r="A153" s="97" t="n"/>
      <c r="B153" s="97" t="n"/>
    </row>
    <row r="154" ht="15.75" customHeight="1" s="163">
      <c r="A154" s="97" t="n"/>
      <c r="B154" s="97" t="n"/>
    </row>
    <row r="155" ht="15.75" customHeight="1" s="163">
      <c r="A155" s="97" t="n"/>
      <c r="B155" s="97" t="n"/>
    </row>
    <row r="156" ht="15.75" customHeight="1" s="163">
      <c r="A156" s="97" t="n"/>
      <c r="B156" s="97" t="n"/>
    </row>
    <row r="157" ht="15.75" customHeight="1" s="163">
      <c r="A157" s="97" t="n"/>
      <c r="B157" s="97" t="n"/>
    </row>
    <row r="158" ht="15.75" customHeight="1" s="163">
      <c r="A158" s="97" t="n"/>
      <c r="B158" s="97" t="n"/>
    </row>
    <row r="159" ht="15.75" customHeight="1" s="163">
      <c r="A159" s="97" t="n"/>
      <c r="B159" s="97" t="n"/>
    </row>
    <row r="160" ht="15.75" customHeight="1" s="163">
      <c r="A160" s="97" t="n"/>
      <c r="B160" s="97" t="n"/>
    </row>
    <row r="161" ht="15.75" customHeight="1" s="163">
      <c r="A161" s="97" t="n"/>
      <c r="B161" s="97" t="n"/>
    </row>
    <row r="162" ht="15.75" customHeight="1" s="163">
      <c r="A162" s="97" t="n"/>
      <c r="B162" s="97" t="n"/>
    </row>
    <row r="163" ht="15.75" customHeight="1" s="163">
      <c r="A163" s="97" t="n"/>
      <c r="B163" s="97" t="n"/>
    </row>
    <row r="164" ht="15.75" customHeight="1" s="163">
      <c r="A164" s="97" t="n"/>
      <c r="B164" s="97" t="n"/>
    </row>
    <row r="165" ht="15.75" customHeight="1" s="163">
      <c r="A165" s="97" t="n"/>
      <c r="B165" s="97" t="n"/>
    </row>
    <row r="166" ht="15.75" customHeight="1" s="163">
      <c r="A166" s="97" t="n"/>
      <c r="B166" s="97" t="n"/>
    </row>
    <row r="167" ht="15.75" customHeight="1" s="163">
      <c r="A167" s="97" t="n"/>
      <c r="B167" s="97" t="n"/>
    </row>
    <row r="168" ht="15.75" customHeight="1" s="163">
      <c r="A168" s="97" t="n"/>
      <c r="B168" s="97" t="n"/>
    </row>
    <row r="169" ht="15.75" customHeight="1" s="163">
      <c r="A169" s="97" t="n"/>
      <c r="B169" s="97" t="n"/>
    </row>
    <row r="170" ht="15.75" customHeight="1" s="163">
      <c r="A170" s="97" t="n"/>
      <c r="B170" s="97" t="n"/>
    </row>
    <row r="171" ht="15.75" customHeight="1" s="163">
      <c r="A171" s="97" t="n"/>
      <c r="B171" s="97" t="n"/>
    </row>
    <row r="172" ht="15.75" customHeight="1" s="163">
      <c r="A172" s="97" t="n"/>
      <c r="B172" s="97" t="n"/>
    </row>
    <row r="173" ht="15.75" customHeight="1" s="163">
      <c r="A173" s="97" t="n"/>
      <c r="B173" s="97" t="n"/>
    </row>
    <row r="174" ht="15.75" customHeight="1" s="163">
      <c r="A174" s="97" t="n"/>
      <c r="B174" s="97" t="n"/>
    </row>
    <row r="175" ht="15.75" customHeight="1" s="163">
      <c r="A175" s="97" t="n"/>
      <c r="B175" s="97" t="n"/>
    </row>
    <row r="176" ht="15.75" customHeight="1" s="163">
      <c r="A176" s="97" t="n"/>
      <c r="B176" s="97" t="n"/>
    </row>
    <row r="177" ht="15.75" customHeight="1" s="163">
      <c r="A177" s="97" t="n"/>
      <c r="B177" s="97" t="n"/>
    </row>
    <row r="178" ht="15.75" customHeight="1" s="163">
      <c r="A178" s="97" t="n"/>
      <c r="B178" s="97" t="n"/>
    </row>
    <row r="179" ht="15.75" customHeight="1" s="163">
      <c r="A179" s="97" t="n"/>
      <c r="B179" s="97" t="n"/>
    </row>
    <row r="180" ht="15.75" customHeight="1" s="163">
      <c r="A180" s="97" t="n"/>
      <c r="B180" s="97" t="n"/>
    </row>
    <row r="181" ht="15.75" customHeight="1" s="163">
      <c r="A181" s="97" t="n"/>
      <c r="B181" s="97" t="n"/>
    </row>
    <row r="182" ht="15.75" customHeight="1" s="163">
      <c r="A182" s="97" t="n"/>
      <c r="B182" s="97" t="n"/>
    </row>
    <row r="183" ht="15.75" customHeight="1" s="163">
      <c r="A183" s="97" t="n"/>
      <c r="B183" s="97" t="n"/>
    </row>
    <row r="184" ht="15.75" customHeight="1" s="163">
      <c r="A184" s="97" t="n"/>
      <c r="B184" s="97" t="n"/>
    </row>
    <row r="185" ht="15.75" customHeight="1" s="163">
      <c r="A185" s="97" t="n"/>
      <c r="B185" s="97" t="n"/>
    </row>
    <row r="186" ht="15.75" customHeight="1" s="163">
      <c r="A186" s="97" t="n"/>
      <c r="B186" s="97" t="n"/>
    </row>
    <row r="187" ht="15.75" customHeight="1" s="163">
      <c r="A187" s="97" t="n"/>
      <c r="B187" s="97" t="n"/>
    </row>
    <row r="188" ht="15.75" customHeight="1" s="163">
      <c r="A188" s="97" t="n"/>
      <c r="B188" s="97" t="n"/>
    </row>
    <row r="189" ht="15.75" customHeight="1" s="163">
      <c r="A189" s="97" t="n"/>
      <c r="B189" s="97" t="n"/>
    </row>
    <row r="190" ht="15.75" customHeight="1" s="163">
      <c r="A190" s="97" t="n"/>
      <c r="B190" s="97" t="n"/>
    </row>
    <row r="191" ht="15.75" customHeight="1" s="163">
      <c r="A191" s="97" t="n"/>
      <c r="B191" s="97" t="n"/>
    </row>
    <row r="192" ht="15.75" customHeight="1" s="163">
      <c r="A192" s="97" t="n"/>
      <c r="B192" s="97" t="n"/>
    </row>
    <row r="193" ht="15.75" customHeight="1" s="163">
      <c r="A193" s="97" t="n"/>
      <c r="B193" s="97" t="n"/>
    </row>
    <row r="194" ht="15.75" customHeight="1" s="163">
      <c r="A194" s="97" t="n"/>
      <c r="B194" s="97" t="n"/>
    </row>
    <row r="195" ht="15.75" customHeight="1" s="163">
      <c r="A195" s="97" t="n"/>
      <c r="B195" s="97" t="n"/>
    </row>
    <row r="196" ht="15.75" customHeight="1" s="163">
      <c r="A196" s="97" t="n"/>
      <c r="B196" s="97" t="n"/>
    </row>
    <row r="197" ht="15.75" customHeight="1" s="163">
      <c r="A197" s="97" t="n"/>
      <c r="B197" s="97" t="n"/>
    </row>
    <row r="198" ht="15.75" customHeight="1" s="163">
      <c r="A198" s="97" t="n"/>
      <c r="B198" s="97" t="n"/>
    </row>
    <row r="199" ht="15.75" customHeight="1" s="163">
      <c r="A199" s="97" t="n"/>
      <c r="B199" s="97" t="n"/>
    </row>
    <row r="200" ht="15.75" customHeight="1" s="163">
      <c r="A200" s="97" t="n"/>
      <c r="B200" s="97" t="n"/>
    </row>
    <row r="201" ht="15.75" customHeight="1" s="163">
      <c r="A201" s="97" t="n"/>
      <c r="B201" s="97" t="n"/>
    </row>
    <row r="202" ht="15.75" customHeight="1" s="163">
      <c r="A202" s="97" t="n"/>
      <c r="B202" s="97" t="n"/>
    </row>
    <row r="203" ht="15.75" customHeight="1" s="163">
      <c r="A203" s="97" t="n"/>
      <c r="B203" s="97" t="n"/>
    </row>
    <row r="204" ht="15.75" customHeight="1" s="163">
      <c r="A204" s="97" t="n"/>
      <c r="B204" s="97" t="n"/>
    </row>
    <row r="205" ht="15.75" customHeight="1" s="163">
      <c r="A205" s="97" t="n"/>
      <c r="B205" s="97" t="n"/>
    </row>
    <row r="206" ht="15.75" customHeight="1" s="163">
      <c r="A206" s="97" t="n"/>
      <c r="B206" s="97" t="n"/>
    </row>
    <row r="207" ht="15.75" customHeight="1" s="163">
      <c r="A207" s="97" t="n"/>
      <c r="B207" s="97" t="n"/>
    </row>
    <row r="208" ht="15.75" customHeight="1" s="163">
      <c r="A208" s="97" t="n"/>
      <c r="B208" s="97" t="n"/>
    </row>
    <row r="209" ht="15.75" customHeight="1" s="163">
      <c r="A209" s="97" t="n"/>
      <c r="B209" s="97" t="n"/>
    </row>
    <row r="210" ht="15.75" customHeight="1" s="163">
      <c r="A210" s="97" t="n"/>
      <c r="B210" s="97" t="n"/>
    </row>
    <row r="211" ht="15.75" customHeight="1" s="163">
      <c r="A211" s="97" t="n"/>
      <c r="B211" s="97" t="n"/>
    </row>
    <row r="212" ht="15.75" customHeight="1" s="163">
      <c r="A212" s="97" t="n"/>
      <c r="B212" s="97" t="n"/>
    </row>
    <row r="213" ht="15.75" customHeight="1" s="163">
      <c r="A213" s="97" t="n"/>
      <c r="B213" s="97" t="n"/>
    </row>
    <row r="214" ht="15.75" customHeight="1" s="163">
      <c r="A214" s="97" t="n"/>
      <c r="B214" s="97" t="n"/>
    </row>
    <row r="215" ht="15.75" customHeight="1" s="163">
      <c r="A215" s="97" t="n"/>
      <c r="B215" s="97" t="n"/>
    </row>
    <row r="216" ht="15.75" customHeight="1" s="163">
      <c r="A216" s="97" t="n"/>
      <c r="B216" s="97" t="n"/>
    </row>
    <row r="217" ht="15.75" customHeight="1" s="163">
      <c r="A217" s="97" t="n"/>
      <c r="B217" s="97" t="n"/>
    </row>
    <row r="218" ht="15.75" customHeight="1" s="163">
      <c r="A218" s="97" t="n"/>
      <c r="B218" s="97" t="n"/>
    </row>
    <row r="219" ht="15.75" customHeight="1" s="163">
      <c r="A219" s="97" t="n"/>
      <c r="B219" s="97" t="n"/>
    </row>
    <row r="220" ht="15.75" customHeight="1" s="163">
      <c r="A220" s="97" t="n"/>
      <c r="B220" s="97" t="n"/>
    </row>
    <row r="221" ht="15.75" customHeight="1" s="163">
      <c r="A221" s="97" t="n"/>
      <c r="B221" s="97" t="n"/>
    </row>
    <row r="222" ht="15.75" customHeight="1" s="163">
      <c r="A222" s="97" t="n"/>
      <c r="B222" s="97" t="n"/>
    </row>
    <row r="223" ht="15.75" customHeight="1" s="163">
      <c r="A223" s="97" t="n"/>
      <c r="B223" s="97" t="n"/>
    </row>
    <row r="224" ht="15.75" customHeight="1" s="163">
      <c r="A224" s="97" t="n"/>
      <c r="B224" s="97" t="n"/>
    </row>
    <row r="225" ht="15.75" customHeight="1" s="163">
      <c r="A225" s="97" t="n"/>
      <c r="B225" s="97" t="n"/>
    </row>
    <row r="226" ht="15.75" customHeight="1" s="163">
      <c r="A226" s="97" t="n"/>
      <c r="B226" s="97" t="n"/>
    </row>
    <row r="227" ht="15.75" customHeight="1" s="163">
      <c r="A227" s="97" t="n"/>
      <c r="B227" s="97" t="n"/>
    </row>
    <row r="228" ht="15.75" customHeight="1" s="163">
      <c r="A228" s="97" t="n"/>
      <c r="B228" s="97" t="n"/>
    </row>
    <row r="229" ht="15.75" customHeight="1" s="163">
      <c r="A229" s="97" t="n"/>
      <c r="B229" s="97" t="n"/>
    </row>
    <row r="230" ht="15.75" customHeight="1" s="163">
      <c r="A230" s="97" t="n"/>
      <c r="B230" s="97" t="n"/>
    </row>
    <row r="231" ht="15.75" customHeight="1" s="163">
      <c r="A231" s="97" t="n"/>
      <c r="B231" s="97" t="n"/>
    </row>
    <row r="232" ht="15.75" customHeight="1" s="163">
      <c r="A232" s="97" t="n"/>
      <c r="B232" s="97" t="n"/>
    </row>
    <row r="233" ht="15.75" customHeight="1" s="163">
      <c r="A233" s="97" t="n"/>
      <c r="B233" s="97" t="n"/>
    </row>
    <row r="234" ht="15.75" customHeight="1" s="163">
      <c r="A234" s="97" t="n"/>
      <c r="B234" s="97" t="n"/>
    </row>
    <row r="235" ht="15.75" customHeight="1" s="163">
      <c r="A235" s="97" t="n"/>
      <c r="B235" s="97" t="n"/>
    </row>
    <row r="236" ht="15.75" customHeight="1" s="163">
      <c r="A236" s="97" t="n"/>
      <c r="B236" s="97" t="n"/>
    </row>
    <row r="237" ht="15.75" customHeight="1" s="163">
      <c r="A237" s="97" t="n"/>
      <c r="B237" s="97" t="n"/>
    </row>
    <row r="238" ht="15.75" customHeight="1" s="163">
      <c r="A238" s="97" t="n"/>
      <c r="B238" s="97" t="n"/>
    </row>
    <row r="239" ht="15.75" customHeight="1" s="163">
      <c r="A239" s="97" t="n"/>
      <c r="B239" s="97" t="n"/>
    </row>
    <row r="240" ht="15.75" customHeight="1" s="163">
      <c r="A240" s="97" t="n"/>
      <c r="B240" s="97" t="n"/>
    </row>
    <row r="241" ht="15.75" customHeight="1" s="163">
      <c r="A241" s="97" t="n"/>
      <c r="B241" s="97" t="n"/>
    </row>
    <row r="242" ht="15.75" customHeight="1" s="163">
      <c r="A242" s="97" t="n"/>
      <c r="B242" s="97" t="n"/>
    </row>
    <row r="243" ht="15.75" customHeight="1" s="163">
      <c r="A243" s="97" t="n"/>
      <c r="B243" s="97" t="n"/>
    </row>
    <row r="244" ht="15.75" customHeight="1" s="163">
      <c r="A244" s="97" t="n"/>
      <c r="B244" s="97" t="n"/>
    </row>
    <row r="245" ht="15.75" customHeight="1" s="163">
      <c r="A245" s="97" t="n"/>
      <c r="B245" s="97" t="n"/>
    </row>
    <row r="246" ht="15.75" customHeight="1" s="163">
      <c r="A246" s="97" t="n"/>
      <c r="B246" s="97" t="n"/>
    </row>
    <row r="247" ht="15.75" customHeight="1" s="163">
      <c r="A247" s="97" t="n"/>
      <c r="B247" s="97" t="n"/>
    </row>
    <row r="248" ht="15.75" customHeight="1" s="163">
      <c r="A248" s="97" t="n"/>
      <c r="B248" s="97" t="n"/>
    </row>
    <row r="249" ht="15.75" customHeight="1" s="163">
      <c r="A249" s="97" t="n"/>
      <c r="B249" s="97" t="n"/>
    </row>
    <row r="250" ht="15.75" customHeight="1" s="163">
      <c r="A250" s="97" t="n"/>
      <c r="B250" s="97" t="n"/>
    </row>
    <row r="251" ht="15.75" customHeight="1" s="163">
      <c r="A251" s="97" t="n"/>
      <c r="B251" s="97" t="n"/>
    </row>
    <row r="252" ht="15.75" customHeight="1" s="163">
      <c r="A252" s="97" t="n"/>
      <c r="B252" s="97" t="n"/>
    </row>
    <row r="253" ht="15.75" customHeight="1" s="163">
      <c r="A253" s="97" t="n"/>
      <c r="B253" s="97" t="n"/>
    </row>
    <row r="254" ht="15.75" customHeight="1" s="163">
      <c r="A254" s="97" t="n"/>
      <c r="B254" s="97" t="n"/>
    </row>
    <row r="255" ht="15.75" customHeight="1" s="163">
      <c r="A255" s="97" t="n"/>
      <c r="B255" s="97" t="n"/>
    </row>
    <row r="256" ht="15.75" customHeight="1" s="163">
      <c r="A256" s="97" t="n"/>
      <c r="B256" s="97" t="n"/>
    </row>
    <row r="257" ht="15.75" customHeight="1" s="163">
      <c r="A257" s="97" t="n"/>
      <c r="B257" s="97" t="n"/>
    </row>
    <row r="258" ht="15.75" customHeight="1" s="163">
      <c r="A258" s="97" t="n"/>
      <c r="B258" s="97" t="n"/>
    </row>
    <row r="259" ht="15.75" customHeight="1" s="163">
      <c r="A259" s="97" t="n"/>
      <c r="B259" s="97" t="n"/>
    </row>
    <row r="260" ht="15.75" customHeight="1" s="163">
      <c r="A260" s="97" t="n"/>
      <c r="B260" s="97" t="n"/>
    </row>
    <row r="261" ht="15.75" customHeight="1" s="163">
      <c r="A261" s="97" t="n"/>
      <c r="B261" s="97" t="n"/>
    </row>
    <row r="262" ht="15.75" customHeight="1" s="163">
      <c r="A262" s="97" t="n"/>
      <c r="B262" s="97" t="n"/>
    </row>
    <row r="263" ht="15.75" customHeight="1" s="163">
      <c r="A263" s="97" t="n"/>
      <c r="B263" s="97" t="n"/>
    </row>
    <row r="264" ht="15.75" customHeight="1" s="163">
      <c r="A264" s="97" t="n"/>
      <c r="B264" s="97" t="n"/>
    </row>
    <row r="265" ht="15.75" customHeight="1" s="163">
      <c r="A265" s="97" t="n"/>
      <c r="B265" s="97" t="n"/>
    </row>
    <row r="266" ht="15.75" customHeight="1" s="163">
      <c r="A266" s="97" t="n"/>
      <c r="B266" s="97" t="n"/>
    </row>
    <row r="267" ht="15.75" customHeight="1" s="163">
      <c r="A267" s="97" t="n"/>
      <c r="B267" s="97" t="n"/>
    </row>
    <row r="268" ht="15.75" customHeight="1" s="163">
      <c r="A268" s="97" t="n"/>
      <c r="B268" s="97" t="n"/>
    </row>
    <row r="269" ht="15.75" customHeight="1" s="163">
      <c r="A269" s="97" t="n"/>
      <c r="B269" s="97" t="n"/>
    </row>
    <row r="270" ht="15.75" customHeight="1" s="163">
      <c r="A270" s="97" t="n"/>
      <c r="B270" s="97" t="n"/>
    </row>
    <row r="271" ht="15.75" customHeight="1" s="163">
      <c r="A271" s="97" t="n"/>
      <c r="B271" s="97" t="n"/>
    </row>
    <row r="272" ht="15.75" customHeight="1" s="163">
      <c r="A272" s="97" t="n"/>
      <c r="B272" s="97" t="n"/>
    </row>
    <row r="273" ht="15.75" customHeight="1" s="163">
      <c r="A273" s="97" t="n"/>
      <c r="B273" s="97" t="n"/>
    </row>
    <row r="274" ht="15.75" customHeight="1" s="163">
      <c r="A274" s="97" t="n"/>
      <c r="B274" s="97" t="n"/>
    </row>
    <row r="275" ht="15.75" customHeight="1" s="163">
      <c r="A275" s="97" t="n"/>
      <c r="B275" s="97" t="n"/>
    </row>
    <row r="276" ht="15.75" customHeight="1" s="163">
      <c r="A276" s="97" t="n"/>
      <c r="B276" s="97" t="n"/>
    </row>
    <row r="277" ht="15.75" customHeight="1" s="163">
      <c r="A277" s="97" t="n"/>
      <c r="B277" s="97" t="n"/>
    </row>
    <row r="278" ht="15.75" customHeight="1" s="163">
      <c r="A278" s="97" t="n"/>
      <c r="B278" s="97" t="n"/>
    </row>
    <row r="279" ht="15.75" customHeight="1" s="163">
      <c r="A279" s="97" t="n"/>
      <c r="B279" s="97" t="n"/>
    </row>
    <row r="280" ht="15.75" customHeight="1" s="163">
      <c r="A280" s="97" t="n"/>
      <c r="B280" s="97" t="n"/>
    </row>
    <row r="281" ht="15.75" customHeight="1" s="163">
      <c r="A281" s="97" t="n"/>
      <c r="B281" s="97" t="n"/>
    </row>
    <row r="282" ht="15.75" customHeight="1" s="163">
      <c r="A282" s="97" t="n"/>
      <c r="B282" s="97" t="n"/>
    </row>
    <row r="283" ht="15.75" customHeight="1" s="163">
      <c r="A283" s="97" t="n"/>
      <c r="B283" s="97" t="n"/>
    </row>
    <row r="284" ht="15.75" customHeight="1" s="163">
      <c r="A284" s="97" t="n"/>
      <c r="B284" s="97" t="n"/>
    </row>
    <row r="285" ht="15.75" customHeight="1" s="163">
      <c r="A285" s="97" t="n"/>
      <c r="B285" s="97" t="n"/>
    </row>
    <row r="286" ht="15.75" customHeight="1" s="163">
      <c r="A286" s="97" t="n"/>
      <c r="B286" s="97" t="n"/>
    </row>
    <row r="287" ht="15.75" customHeight="1" s="163">
      <c r="A287" s="97" t="n"/>
      <c r="B287" s="97" t="n"/>
    </row>
    <row r="288" ht="15.75" customHeight="1" s="163">
      <c r="A288" s="97" t="n"/>
      <c r="B288" s="97" t="n"/>
    </row>
    <row r="289" ht="15.75" customHeight="1" s="163">
      <c r="A289" s="97" t="n"/>
      <c r="B289" s="97" t="n"/>
    </row>
    <row r="290" ht="15.75" customHeight="1" s="163">
      <c r="A290" s="97" t="n"/>
      <c r="B290" s="97" t="n"/>
    </row>
    <row r="291" ht="15.75" customHeight="1" s="163">
      <c r="A291" s="97" t="n"/>
      <c r="B291" s="97" t="n"/>
    </row>
    <row r="292" ht="15.75" customHeight="1" s="163">
      <c r="A292" s="97" t="n"/>
      <c r="B292" s="97" t="n"/>
    </row>
    <row r="293" ht="15.75" customHeight="1" s="163">
      <c r="A293" s="97" t="n"/>
      <c r="B293" s="97" t="n"/>
    </row>
    <row r="294" ht="15.75" customHeight="1" s="163">
      <c r="A294" s="97" t="n"/>
      <c r="B294" s="97" t="n"/>
    </row>
    <row r="295" ht="15.75" customHeight="1" s="163">
      <c r="A295" s="97" t="n"/>
      <c r="B295" s="97" t="n"/>
    </row>
    <row r="296" ht="15.75" customHeight="1" s="163">
      <c r="A296" s="97" t="n"/>
      <c r="B296" s="97" t="n"/>
    </row>
    <row r="297" ht="15.75" customHeight="1" s="163">
      <c r="A297" s="97" t="n"/>
      <c r="B297" s="97" t="n"/>
    </row>
    <row r="298" ht="15.75" customHeight="1" s="163">
      <c r="A298" s="97" t="n"/>
      <c r="B298" s="97" t="n"/>
    </row>
    <row r="299" ht="15.75" customHeight="1" s="163">
      <c r="A299" s="97" t="n"/>
      <c r="B299" s="97" t="n"/>
    </row>
    <row r="300" ht="15.75" customHeight="1" s="163">
      <c r="A300" s="97" t="n"/>
      <c r="B300" s="97" t="n"/>
    </row>
    <row r="301" ht="15.75" customHeight="1" s="163">
      <c r="A301" s="97" t="n"/>
      <c r="B301" s="97" t="n"/>
    </row>
    <row r="302" ht="15.75" customHeight="1" s="163">
      <c r="A302" s="97" t="n"/>
      <c r="B302" s="97" t="n"/>
    </row>
    <row r="303" ht="15.75" customHeight="1" s="163">
      <c r="A303" s="97" t="n"/>
      <c r="B303" s="97" t="n"/>
    </row>
    <row r="304" ht="15.75" customHeight="1" s="163">
      <c r="A304" s="97" t="n"/>
      <c r="B304" s="97" t="n"/>
    </row>
    <row r="305" ht="15.75" customHeight="1" s="163">
      <c r="A305" s="97" t="n"/>
      <c r="B305" s="97" t="n"/>
    </row>
    <row r="306" ht="15.75" customHeight="1" s="163">
      <c r="A306" s="97" t="n"/>
      <c r="B306" s="97" t="n"/>
    </row>
    <row r="307" ht="15.75" customHeight="1" s="163">
      <c r="A307" s="97" t="n"/>
      <c r="B307" s="97" t="n"/>
    </row>
    <row r="308" ht="15.75" customHeight="1" s="163">
      <c r="A308" s="97" t="n"/>
      <c r="B308" s="97" t="n"/>
    </row>
    <row r="309" ht="15.75" customHeight="1" s="163">
      <c r="A309" s="97" t="n"/>
      <c r="B309" s="97" t="n"/>
    </row>
    <row r="310" ht="15.75" customHeight="1" s="163">
      <c r="A310" s="97" t="n"/>
      <c r="B310" s="97" t="n"/>
    </row>
    <row r="311" ht="15.75" customHeight="1" s="163">
      <c r="A311" s="97" t="n"/>
      <c r="B311" s="97" t="n"/>
    </row>
    <row r="312" ht="15.75" customHeight="1" s="163">
      <c r="A312" s="97" t="n"/>
      <c r="B312" s="97" t="n"/>
    </row>
    <row r="313" ht="15.75" customHeight="1" s="163">
      <c r="A313" s="97" t="n"/>
      <c r="B313" s="97" t="n"/>
    </row>
    <row r="314" ht="15.75" customHeight="1" s="163">
      <c r="A314" s="97" t="n"/>
      <c r="B314" s="97" t="n"/>
    </row>
    <row r="315" ht="15.75" customHeight="1" s="163">
      <c r="A315" s="97" t="n"/>
      <c r="B315" s="97" t="n"/>
    </row>
    <row r="316" ht="15.75" customHeight="1" s="163">
      <c r="A316" s="97" t="n"/>
      <c r="B316" s="97" t="n"/>
    </row>
    <row r="317" ht="15.75" customHeight="1" s="163">
      <c r="A317" s="97" t="n"/>
      <c r="B317" s="97" t="n"/>
    </row>
    <row r="318" ht="15.75" customHeight="1" s="163">
      <c r="A318" s="97" t="n"/>
      <c r="B318" s="97" t="n"/>
    </row>
    <row r="319" ht="15.75" customHeight="1" s="163">
      <c r="A319" s="97" t="n"/>
      <c r="B319" s="97" t="n"/>
    </row>
    <row r="320" ht="15.75" customHeight="1" s="163">
      <c r="A320" s="97" t="n"/>
      <c r="B320" s="97" t="n"/>
    </row>
    <row r="321" ht="15.75" customHeight="1" s="163">
      <c r="A321" s="97" t="n"/>
      <c r="B321" s="97" t="n"/>
    </row>
    <row r="322" ht="15.75" customHeight="1" s="163">
      <c r="A322" s="97" t="n"/>
      <c r="B322" s="97" t="n"/>
    </row>
    <row r="323" ht="15.75" customHeight="1" s="163">
      <c r="A323" s="97" t="n"/>
      <c r="B323" s="97" t="n"/>
    </row>
    <row r="324" ht="15.75" customHeight="1" s="163">
      <c r="A324" s="97" t="n"/>
      <c r="B324" s="97" t="n"/>
    </row>
    <row r="325" ht="15.75" customHeight="1" s="163">
      <c r="A325" s="97" t="n"/>
      <c r="B325" s="97" t="n"/>
    </row>
    <row r="326" ht="15.75" customHeight="1" s="163">
      <c r="A326" s="97" t="n"/>
      <c r="B326" s="97" t="n"/>
    </row>
    <row r="327" ht="15.75" customHeight="1" s="163">
      <c r="A327" s="97" t="n"/>
      <c r="B327" s="97" t="n"/>
    </row>
    <row r="328" ht="15.75" customHeight="1" s="163">
      <c r="A328" s="97" t="n"/>
      <c r="B328" s="97" t="n"/>
    </row>
    <row r="329" ht="15.75" customHeight="1" s="163">
      <c r="A329" s="97" t="n"/>
      <c r="B329" s="97" t="n"/>
    </row>
    <row r="330" ht="15.75" customHeight="1" s="163">
      <c r="A330" s="97" t="n"/>
      <c r="B330" s="97" t="n"/>
    </row>
    <row r="331" ht="15.75" customHeight="1" s="163">
      <c r="A331" s="97" t="n"/>
      <c r="B331" s="97" t="n"/>
    </row>
    <row r="332" ht="15.75" customHeight="1" s="163">
      <c r="A332" s="97" t="n"/>
      <c r="B332" s="97" t="n"/>
    </row>
    <row r="333" ht="15.75" customHeight="1" s="163">
      <c r="A333" s="97" t="n"/>
      <c r="B333" s="97" t="n"/>
    </row>
    <row r="334" ht="15.75" customHeight="1" s="163">
      <c r="A334" s="97" t="n"/>
      <c r="B334" s="97" t="n"/>
    </row>
    <row r="335" ht="15.75" customHeight="1" s="163">
      <c r="A335" s="97" t="n"/>
      <c r="B335" s="97" t="n"/>
    </row>
    <row r="336" ht="15.75" customHeight="1" s="163">
      <c r="A336" s="97" t="n"/>
      <c r="B336" s="97" t="n"/>
    </row>
    <row r="337" ht="15.75" customHeight="1" s="163">
      <c r="A337" s="97" t="n"/>
      <c r="B337" s="97" t="n"/>
    </row>
    <row r="338" ht="15.75" customHeight="1" s="163">
      <c r="A338" s="97" t="n"/>
      <c r="B338" s="97" t="n"/>
    </row>
    <row r="339" ht="15.75" customHeight="1" s="163">
      <c r="A339" s="97" t="n"/>
      <c r="B339" s="97" t="n"/>
    </row>
    <row r="340" ht="15.75" customHeight="1" s="163">
      <c r="A340" s="97" t="n"/>
      <c r="B340" s="97" t="n"/>
    </row>
    <row r="341" ht="15.75" customHeight="1" s="163">
      <c r="A341" s="97" t="n"/>
      <c r="B341" s="97" t="n"/>
    </row>
    <row r="342" ht="15.75" customHeight="1" s="163">
      <c r="A342" s="97" t="n"/>
      <c r="B342" s="97" t="n"/>
    </row>
    <row r="343" ht="15.75" customHeight="1" s="163">
      <c r="A343" s="97" t="n"/>
      <c r="B343" s="97" t="n"/>
    </row>
    <row r="344" ht="15.75" customHeight="1" s="163">
      <c r="A344" s="97" t="n"/>
      <c r="B344" s="97" t="n"/>
    </row>
    <row r="345" ht="15.75" customHeight="1" s="163">
      <c r="A345" s="97" t="n"/>
      <c r="B345" s="97" t="n"/>
    </row>
    <row r="346" ht="15.75" customHeight="1" s="163">
      <c r="A346" s="97" t="n"/>
      <c r="B346" s="97" t="n"/>
    </row>
    <row r="347" ht="15.75" customHeight="1" s="163">
      <c r="A347" s="97" t="n"/>
      <c r="B347" s="97" t="n"/>
    </row>
    <row r="348" ht="15.75" customHeight="1" s="163">
      <c r="A348" s="97" t="n"/>
      <c r="B348" s="97" t="n"/>
    </row>
    <row r="349" ht="15.75" customHeight="1" s="163">
      <c r="A349" s="97" t="n"/>
      <c r="B349" s="97" t="n"/>
    </row>
    <row r="350" ht="15.75" customHeight="1" s="163">
      <c r="A350" s="97" t="n"/>
      <c r="B350" s="97" t="n"/>
    </row>
    <row r="351" ht="15.75" customHeight="1" s="163">
      <c r="A351" s="97" t="n"/>
      <c r="B351" s="97" t="n"/>
    </row>
    <row r="352" ht="15.75" customHeight="1" s="163">
      <c r="A352" s="97" t="n"/>
      <c r="B352" s="97" t="n"/>
    </row>
    <row r="353" ht="15.75" customHeight="1" s="163">
      <c r="A353" s="97" t="n"/>
      <c r="B353" s="97" t="n"/>
    </row>
    <row r="354" ht="15.75" customHeight="1" s="163">
      <c r="A354" s="97" t="n"/>
      <c r="B354" s="97" t="n"/>
    </row>
    <row r="355" ht="15.75" customHeight="1" s="163">
      <c r="A355" s="97" t="n"/>
      <c r="B355" s="97" t="n"/>
    </row>
    <row r="356" ht="15.75" customHeight="1" s="163">
      <c r="A356" s="97" t="n"/>
      <c r="B356" s="97" t="n"/>
    </row>
    <row r="357" ht="15.75" customHeight="1" s="163">
      <c r="A357" s="97" t="n"/>
      <c r="B357" s="97" t="n"/>
    </row>
    <row r="358" ht="15.75" customHeight="1" s="163">
      <c r="A358" s="97" t="n"/>
      <c r="B358" s="97" t="n"/>
    </row>
    <row r="359" ht="15.75" customHeight="1" s="163">
      <c r="A359" s="97" t="n"/>
      <c r="B359" s="97" t="n"/>
    </row>
    <row r="360" ht="15.75" customHeight="1" s="163">
      <c r="A360" s="97" t="n"/>
      <c r="B360" s="97" t="n"/>
    </row>
    <row r="361" ht="15.75" customHeight="1" s="163">
      <c r="A361" s="97" t="n"/>
      <c r="B361" s="97" t="n"/>
    </row>
    <row r="362" ht="15.75" customHeight="1" s="163">
      <c r="A362" s="97" t="n"/>
      <c r="B362" s="97" t="n"/>
    </row>
    <row r="363" ht="15.75" customHeight="1" s="163">
      <c r="A363" s="97" t="n"/>
      <c r="B363" s="97" t="n"/>
    </row>
    <row r="364" ht="15.75" customHeight="1" s="163">
      <c r="A364" s="97" t="n"/>
      <c r="B364" s="97" t="n"/>
    </row>
    <row r="365" ht="15.75" customHeight="1" s="163">
      <c r="A365" s="97" t="n"/>
      <c r="B365" s="97" t="n"/>
    </row>
    <row r="366" ht="15.75" customHeight="1" s="163">
      <c r="A366" s="97" t="n"/>
      <c r="B366" s="97" t="n"/>
    </row>
    <row r="367" ht="15.75" customHeight="1" s="163">
      <c r="A367" s="97" t="n"/>
      <c r="B367" s="97" t="n"/>
    </row>
    <row r="368" ht="15.75" customHeight="1" s="163">
      <c r="A368" s="97" t="n"/>
      <c r="B368" s="97" t="n"/>
    </row>
    <row r="369" ht="15.75" customHeight="1" s="163">
      <c r="A369" s="97" t="n"/>
      <c r="B369" s="97" t="n"/>
    </row>
    <row r="370" ht="15.75" customHeight="1" s="163">
      <c r="A370" s="97" t="n"/>
      <c r="B370" s="97" t="n"/>
    </row>
    <row r="371" ht="15.75" customHeight="1" s="163">
      <c r="A371" s="97" t="n"/>
      <c r="B371" s="97" t="n"/>
    </row>
    <row r="372" ht="15.75" customHeight="1" s="163">
      <c r="A372" s="97" t="n"/>
      <c r="B372" s="97" t="n"/>
    </row>
    <row r="373" ht="15.75" customHeight="1" s="163">
      <c r="A373" s="97" t="n"/>
      <c r="B373" s="97" t="n"/>
    </row>
    <row r="374" ht="15.75" customHeight="1" s="163">
      <c r="A374" s="97" t="n"/>
      <c r="B374" s="97" t="n"/>
    </row>
    <row r="375" ht="15.75" customHeight="1" s="163">
      <c r="A375" s="97" t="n"/>
      <c r="B375" s="97" t="n"/>
    </row>
    <row r="376" ht="15.75" customHeight="1" s="163">
      <c r="A376" s="97" t="n"/>
      <c r="B376" s="97" t="n"/>
    </row>
    <row r="377" ht="15.75" customHeight="1" s="163">
      <c r="A377" s="97" t="n"/>
      <c r="B377" s="97" t="n"/>
    </row>
    <row r="378" ht="15.75" customHeight="1" s="163">
      <c r="A378" s="97" t="n"/>
      <c r="B378" s="97" t="n"/>
    </row>
    <row r="379" ht="15.75" customHeight="1" s="163">
      <c r="A379" s="97" t="n"/>
      <c r="B379" s="97" t="n"/>
    </row>
    <row r="380" ht="15.75" customHeight="1" s="163">
      <c r="A380" s="97" t="n"/>
      <c r="B380" s="97" t="n"/>
    </row>
    <row r="381" ht="15.75" customHeight="1" s="163">
      <c r="A381" s="97" t="n"/>
      <c r="B381" s="97" t="n"/>
    </row>
    <row r="382" ht="15.75" customHeight="1" s="163">
      <c r="A382" s="97" t="n"/>
      <c r="B382" s="97" t="n"/>
    </row>
    <row r="383" ht="15.75" customHeight="1" s="163">
      <c r="A383" s="97" t="n"/>
      <c r="B383" s="97" t="n"/>
    </row>
    <row r="384" ht="15.75" customHeight="1" s="163">
      <c r="A384" s="97" t="n"/>
      <c r="B384" s="97" t="n"/>
    </row>
    <row r="385" ht="15.75" customHeight="1" s="163">
      <c r="A385" s="97" t="n"/>
      <c r="B385" s="97" t="n"/>
    </row>
    <row r="386" ht="15.75" customHeight="1" s="163">
      <c r="A386" s="97" t="n"/>
      <c r="B386" s="97" t="n"/>
    </row>
    <row r="387" ht="15.75" customHeight="1" s="163">
      <c r="A387" s="97" t="n"/>
      <c r="B387" s="97" t="n"/>
    </row>
    <row r="388" ht="15.75" customHeight="1" s="163">
      <c r="A388" s="97" t="n"/>
      <c r="B388" s="97" t="n"/>
    </row>
    <row r="389" ht="15.75" customHeight="1" s="163">
      <c r="A389" s="97" t="n"/>
      <c r="B389" s="97" t="n"/>
    </row>
    <row r="390" ht="15.75" customHeight="1" s="163">
      <c r="A390" s="97" t="n"/>
      <c r="B390" s="97" t="n"/>
    </row>
    <row r="391" ht="15.75" customHeight="1" s="163">
      <c r="A391" s="97" t="n"/>
      <c r="B391" s="97" t="n"/>
    </row>
    <row r="392" ht="15.75" customHeight="1" s="163">
      <c r="A392" s="97" t="n"/>
      <c r="B392" s="97" t="n"/>
    </row>
    <row r="393" ht="15.75" customHeight="1" s="163">
      <c r="A393" s="97" t="n"/>
      <c r="B393" s="97" t="n"/>
    </row>
    <row r="394" ht="15.75" customHeight="1" s="163">
      <c r="A394" s="97" t="n"/>
      <c r="B394" s="97" t="n"/>
    </row>
    <row r="395" ht="15.75" customHeight="1" s="163">
      <c r="A395" s="97" t="n"/>
      <c r="B395" s="97" t="n"/>
    </row>
    <row r="396" ht="15.75" customHeight="1" s="163">
      <c r="A396" s="97" t="n"/>
      <c r="B396" s="97" t="n"/>
    </row>
    <row r="397" ht="15.75" customHeight="1" s="163">
      <c r="A397" s="97" t="n"/>
      <c r="B397" s="97" t="n"/>
    </row>
    <row r="398" ht="15.75" customHeight="1" s="163">
      <c r="A398" s="97" t="n"/>
      <c r="B398" s="97" t="n"/>
    </row>
    <row r="399" ht="15.75" customHeight="1" s="163">
      <c r="A399" s="97" t="n"/>
      <c r="B399" s="97" t="n"/>
    </row>
    <row r="400" ht="15.75" customHeight="1" s="163">
      <c r="A400" s="97" t="n"/>
      <c r="B400" s="97" t="n"/>
    </row>
    <row r="401" ht="15.75" customHeight="1" s="163">
      <c r="A401" s="97" t="n"/>
      <c r="B401" s="97" t="n"/>
    </row>
    <row r="402" ht="15.75" customHeight="1" s="163">
      <c r="A402" s="97" t="n"/>
      <c r="B402" s="97" t="n"/>
    </row>
    <row r="403" ht="15.75" customHeight="1" s="163">
      <c r="A403" s="97" t="n"/>
      <c r="B403" s="97" t="n"/>
    </row>
    <row r="404" ht="15.75" customHeight="1" s="163">
      <c r="A404" s="97" t="n"/>
      <c r="B404" s="97" t="n"/>
    </row>
    <row r="405" ht="15.75" customHeight="1" s="163">
      <c r="A405" s="97" t="n"/>
      <c r="B405" s="97" t="n"/>
    </row>
    <row r="406" ht="15.75" customHeight="1" s="163">
      <c r="A406" s="97" t="n"/>
      <c r="B406" s="97" t="n"/>
    </row>
    <row r="407" ht="15.75" customHeight="1" s="163">
      <c r="A407" s="97" t="n"/>
      <c r="B407" s="97" t="n"/>
    </row>
    <row r="408" ht="15.75" customHeight="1" s="163">
      <c r="A408" s="97" t="n"/>
      <c r="B408" s="97" t="n"/>
    </row>
    <row r="409" ht="15.75" customHeight="1" s="163">
      <c r="A409" s="97" t="n"/>
      <c r="B409" s="97" t="n"/>
    </row>
    <row r="410" ht="15.75" customHeight="1" s="163">
      <c r="A410" s="97" t="n"/>
      <c r="B410" s="97" t="n"/>
    </row>
    <row r="411" ht="15.75" customHeight="1" s="163">
      <c r="A411" s="97" t="n"/>
      <c r="B411" s="97" t="n"/>
    </row>
    <row r="412" ht="15.75" customHeight="1" s="163">
      <c r="A412" s="97" t="n"/>
      <c r="B412" s="97" t="n"/>
    </row>
    <row r="413" ht="15.75" customHeight="1" s="163">
      <c r="A413" s="97" t="n"/>
      <c r="B413" s="97" t="n"/>
    </row>
    <row r="414" ht="15.75" customHeight="1" s="163">
      <c r="A414" s="97" t="n"/>
      <c r="B414" s="97" t="n"/>
    </row>
    <row r="415" ht="15.75" customHeight="1" s="163">
      <c r="A415" s="97" t="n"/>
      <c r="B415" s="97" t="n"/>
    </row>
    <row r="416" ht="15.75" customHeight="1" s="163">
      <c r="A416" s="97" t="n"/>
      <c r="B416" s="97" t="n"/>
    </row>
    <row r="417" ht="15.75" customHeight="1" s="163">
      <c r="A417" s="97" t="n"/>
      <c r="B417" s="97" t="n"/>
    </row>
    <row r="418" ht="15.75" customHeight="1" s="163">
      <c r="A418" s="97" t="n"/>
      <c r="B418" s="97" t="n"/>
    </row>
    <row r="419" ht="15.75" customHeight="1" s="163">
      <c r="A419" s="97" t="n"/>
      <c r="B419" s="97" t="n"/>
    </row>
    <row r="420" ht="15.75" customHeight="1" s="163">
      <c r="A420" s="97" t="n"/>
      <c r="B420" s="97" t="n"/>
    </row>
    <row r="421" ht="15.75" customHeight="1" s="163">
      <c r="A421" s="97" t="n"/>
      <c r="B421" s="97" t="n"/>
    </row>
    <row r="422" ht="15.75" customHeight="1" s="163">
      <c r="A422" s="97" t="n"/>
      <c r="B422" s="97" t="n"/>
    </row>
    <row r="423" ht="15.75" customHeight="1" s="163">
      <c r="A423" s="97" t="n"/>
      <c r="B423" s="97" t="n"/>
    </row>
    <row r="424" ht="15.75" customHeight="1" s="163">
      <c r="A424" s="97" t="n"/>
      <c r="B424" s="97" t="n"/>
    </row>
    <row r="425" ht="15.75" customHeight="1" s="163">
      <c r="A425" s="97" t="n"/>
      <c r="B425" s="97" t="n"/>
    </row>
    <row r="426" ht="15.75" customHeight="1" s="163">
      <c r="A426" s="97" t="n"/>
      <c r="B426" s="97" t="n"/>
    </row>
    <row r="427" ht="15.75" customHeight="1" s="163">
      <c r="A427" s="97" t="n"/>
      <c r="B427" s="97" t="n"/>
    </row>
    <row r="428" ht="15.75" customHeight="1" s="163">
      <c r="A428" s="97" t="n"/>
      <c r="B428" s="97" t="n"/>
    </row>
    <row r="429" ht="15.75" customHeight="1" s="163">
      <c r="A429" s="97" t="n"/>
      <c r="B429" s="97" t="n"/>
    </row>
    <row r="430" ht="15.75" customHeight="1" s="163">
      <c r="A430" s="97" t="n"/>
      <c r="B430" s="97" t="n"/>
    </row>
    <row r="431" ht="15.75" customHeight="1" s="163">
      <c r="A431" s="97" t="n"/>
      <c r="B431" s="97" t="n"/>
    </row>
    <row r="432" ht="15.75" customHeight="1" s="163">
      <c r="A432" s="97" t="n"/>
      <c r="B432" s="97" t="n"/>
    </row>
    <row r="433" ht="15.75" customHeight="1" s="163">
      <c r="A433" s="97" t="n"/>
      <c r="B433" s="97" t="n"/>
    </row>
    <row r="434" ht="15.75" customHeight="1" s="163">
      <c r="A434" s="97" t="n"/>
      <c r="B434" s="97" t="n"/>
    </row>
    <row r="435" ht="15.75" customHeight="1" s="163">
      <c r="A435" s="97" t="n"/>
      <c r="B435" s="97" t="n"/>
    </row>
    <row r="436" ht="15.75" customHeight="1" s="163">
      <c r="A436" s="97" t="n"/>
      <c r="B436" s="97" t="n"/>
    </row>
    <row r="437" ht="15.75" customHeight="1" s="163">
      <c r="A437" s="97" t="n"/>
      <c r="B437" s="97" t="n"/>
    </row>
    <row r="438" ht="15.75" customHeight="1" s="163">
      <c r="A438" s="97" t="n"/>
      <c r="B438" s="97" t="n"/>
    </row>
    <row r="439" ht="15.75" customHeight="1" s="163">
      <c r="A439" s="97" t="n"/>
      <c r="B439" s="97" t="n"/>
    </row>
    <row r="440" ht="15.75" customHeight="1" s="163">
      <c r="A440" s="97" t="n"/>
      <c r="B440" s="97" t="n"/>
    </row>
    <row r="441" ht="15.75" customHeight="1" s="163">
      <c r="A441" s="97" t="n"/>
      <c r="B441" s="97" t="n"/>
    </row>
    <row r="442" ht="15.75" customHeight="1" s="163">
      <c r="A442" s="97" t="n"/>
      <c r="B442" s="97" t="n"/>
    </row>
    <row r="443" ht="15.75" customHeight="1" s="163">
      <c r="A443" s="97" t="n"/>
      <c r="B443" s="97" t="n"/>
    </row>
    <row r="444" ht="15.75" customHeight="1" s="163">
      <c r="A444" s="97" t="n"/>
      <c r="B444" s="97" t="n"/>
    </row>
    <row r="445" ht="15.75" customHeight="1" s="163">
      <c r="A445" s="97" t="n"/>
      <c r="B445" s="97" t="n"/>
    </row>
    <row r="446" ht="15.75" customHeight="1" s="163">
      <c r="A446" s="97" t="n"/>
      <c r="B446" s="97" t="n"/>
    </row>
    <row r="447" ht="15.75" customHeight="1" s="163">
      <c r="A447" s="97" t="n"/>
      <c r="B447" s="97" t="n"/>
    </row>
    <row r="448" ht="15.75" customHeight="1" s="163">
      <c r="A448" s="97" t="n"/>
      <c r="B448" s="97" t="n"/>
    </row>
    <row r="449" ht="15.75" customHeight="1" s="163">
      <c r="A449" s="97" t="n"/>
      <c r="B449" s="97" t="n"/>
    </row>
    <row r="450" ht="15.75" customHeight="1" s="163">
      <c r="A450" s="97" t="n"/>
      <c r="B450" s="97" t="n"/>
    </row>
    <row r="451" ht="15.75" customHeight="1" s="163">
      <c r="A451" s="97" t="n"/>
      <c r="B451" s="97" t="n"/>
    </row>
    <row r="452" ht="15.75" customHeight="1" s="163">
      <c r="A452" s="97" t="n"/>
      <c r="B452" s="97" t="n"/>
    </row>
    <row r="453" ht="15.75" customHeight="1" s="163">
      <c r="A453" s="97" t="n"/>
      <c r="B453" s="97" t="n"/>
    </row>
    <row r="454" ht="15.75" customHeight="1" s="163">
      <c r="A454" s="97" t="n"/>
      <c r="B454" s="97" t="n"/>
    </row>
    <row r="455" ht="15.75" customHeight="1" s="163">
      <c r="A455" s="97" t="n"/>
      <c r="B455" s="97" t="n"/>
    </row>
    <row r="456" ht="15.75" customHeight="1" s="163">
      <c r="A456" s="97" t="n"/>
      <c r="B456" s="97" t="n"/>
    </row>
    <row r="457" ht="15.75" customHeight="1" s="163">
      <c r="A457" s="97" t="n"/>
      <c r="B457" s="97" t="n"/>
    </row>
    <row r="458" ht="15.75" customHeight="1" s="163">
      <c r="A458" s="97" t="n"/>
      <c r="B458" s="97" t="n"/>
    </row>
    <row r="459" ht="15.75" customHeight="1" s="163">
      <c r="A459" s="97" t="n"/>
      <c r="B459" s="97" t="n"/>
    </row>
    <row r="460" ht="15.75" customHeight="1" s="163">
      <c r="A460" s="97" t="n"/>
      <c r="B460" s="97" t="n"/>
    </row>
    <row r="461" ht="15.75" customHeight="1" s="163">
      <c r="A461" s="97" t="n"/>
      <c r="B461" s="97" t="n"/>
    </row>
    <row r="462" ht="15.75" customHeight="1" s="163">
      <c r="A462" s="97" t="n"/>
      <c r="B462" s="97" t="n"/>
    </row>
    <row r="463" ht="15.75" customHeight="1" s="163">
      <c r="A463" s="97" t="n"/>
      <c r="B463" s="97" t="n"/>
    </row>
    <row r="464" ht="15.75" customHeight="1" s="163">
      <c r="A464" s="97" t="n"/>
      <c r="B464" s="97" t="n"/>
    </row>
    <row r="465" ht="15.75" customHeight="1" s="163">
      <c r="A465" s="97" t="n"/>
      <c r="B465" s="97" t="n"/>
    </row>
    <row r="466" ht="15.75" customHeight="1" s="163">
      <c r="A466" s="97" t="n"/>
      <c r="B466" s="97" t="n"/>
    </row>
    <row r="467" ht="15.75" customHeight="1" s="163">
      <c r="A467" s="97" t="n"/>
      <c r="B467" s="97" t="n"/>
    </row>
    <row r="468" ht="15.75" customHeight="1" s="163">
      <c r="A468" s="97" t="n"/>
      <c r="B468" s="97" t="n"/>
    </row>
    <row r="469" ht="15.75" customHeight="1" s="163">
      <c r="A469" s="97" t="n"/>
      <c r="B469" s="97" t="n"/>
    </row>
    <row r="470" ht="15.75" customHeight="1" s="163">
      <c r="A470" s="97" t="n"/>
      <c r="B470" s="97" t="n"/>
    </row>
    <row r="471" ht="15.75" customHeight="1" s="163">
      <c r="A471" s="97" t="n"/>
      <c r="B471" s="97" t="n"/>
    </row>
    <row r="472" ht="15.75" customHeight="1" s="163">
      <c r="A472" s="97" t="n"/>
      <c r="B472" s="97" t="n"/>
    </row>
    <row r="473" ht="15.75" customHeight="1" s="163">
      <c r="A473" s="97" t="n"/>
      <c r="B473" s="97" t="n"/>
    </row>
    <row r="474" ht="15.75" customHeight="1" s="163">
      <c r="A474" s="97" t="n"/>
      <c r="B474" s="97" t="n"/>
    </row>
    <row r="475" ht="15.75" customHeight="1" s="163">
      <c r="A475" s="97" t="n"/>
      <c r="B475" s="97" t="n"/>
    </row>
    <row r="476" ht="15.75" customHeight="1" s="163">
      <c r="A476" s="97" t="n"/>
      <c r="B476" s="97" t="n"/>
    </row>
    <row r="477" ht="15.75" customHeight="1" s="163">
      <c r="A477" s="97" t="n"/>
      <c r="B477" s="97" t="n"/>
    </row>
    <row r="478" ht="15.75" customHeight="1" s="163">
      <c r="A478" s="97" t="n"/>
      <c r="B478" s="97" t="n"/>
    </row>
    <row r="479" ht="15.75" customHeight="1" s="163">
      <c r="A479" s="97" t="n"/>
      <c r="B479" s="97" t="n"/>
    </row>
    <row r="480" ht="15.75" customHeight="1" s="163">
      <c r="A480" s="97" t="n"/>
      <c r="B480" s="97" t="n"/>
    </row>
    <row r="481" ht="15.75" customHeight="1" s="163">
      <c r="A481" s="97" t="n"/>
      <c r="B481" s="97" t="n"/>
    </row>
    <row r="482" ht="15.75" customHeight="1" s="163">
      <c r="A482" s="97" t="n"/>
      <c r="B482" s="97" t="n"/>
    </row>
    <row r="483" ht="15.75" customHeight="1" s="163">
      <c r="A483" s="97" t="n"/>
      <c r="B483" s="97" t="n"/>
    </row>
    <row r="484" ht="15.75" customHeight="1" s="163">
      <c r="A484" s="97" t="n"/>
      <c r="B484" s="97" t="n"/>
    </row>
    <row r="485" ht="15.75" customHeight="1" s="163">
      <c r="A485" s="97" t="n"/>
      <c r="B485" s="97" t="n"/>
    </row>
    <row r="486" ht="15.75" customHeight="1" s="163">
      <c r="A486" s="97" t="n"/>
      <c r="B486" s="97" t="n"/>
    </row>
    <row r="487" ht="15.75" customHeight="1" s="163">
      <c r="A487" s="97" t="n"/>
      <c r="B487" s="97" t="n"/>
    </row>
    <row r="488" ht="15.75" customHeight="1" s="163">
      <c r="A488" s="97" t="n"/>
      <c r="B488" s="97" t="n"/>
    </row>
    <row r="489" ht="15.75" customHeight="1" s="163">
      <c r="A489" s="97" t="n"/>
      <c r="B489" s="97" t="n"/>
    </row>
    <row r="490" ht="15.75" customHeight="1" s="163">
      <c r="A490" s="97" t="n"/>
      <c r="B490" s="97" t="n"/>
    </row>
    <row r="491" ht="15.75" customHeight="1" s="163">
      <c r="A491" s="97" t="n"/>
      <c r="B491" s="97" t="n"/>
    </row>
    <row r="492" ht="15.75" customHeight="1" s="163">
      <c r="A492" s="97" t="n"/>
      <c r="B492" s="97" t="n"/>
    </row>
    <row r="493" ht="15.75" customHeight="1" s="163">
      <c r="A493" s="97" t="n"/>
      <c r="B493" s="97" t="n"/>
    </row>
    <row r="494" ht="15.75" customHeight="1" s="163">
      <c r="A494" s="97" t="n"/>
      <c r="B494" s="97" t="n"/>
    </row>
    <row r="495" ht="15.75" customHeight="1" s="163">
      <c r="A495" s="97" t="n"/>
      <c r="B495" s="97" t="n"/>
    </row>
    <row r="496" ht="15.75" customHeight="1" s="163">
      <c r="A496" s="97" t="n"/>
      <c r="B496" s="97" t="n"/>
    </row>
    <row r="497" ht="15.75" customHeight="1" s="163">
      <c r="A497" s="97" t="n"/>
      <c r="B497" s="97" t="n"/>
    </row>
    <row r="498" ht="15.75" customHeight="1" s="163">
      <c r="A498" s="97" t="n"/>
      <c r="B498" s="97" t="n"/>
    </row>
    <row r="499" ht="15.75" customHeight="1" s="163">
      <c r="A499" s="97" t="n"/>
      <c r="B499" s="97" t="n"/>
    </row>
    <row r="500" ht="15.75" customHeight="1" s="163">
      <c r="A500" s="97" t="n"/>
      <c r="B500" s="97" t="n"/>
    </row>
    <row r="501" ht="15.75" customHeight="1" s="163">
      <c r="A501" s="97" t="n"/>
      <c r="B501" s="97" t="n"/>
    </row>
    <row r="502" ht="15.75" customHeight="1" s="163">
      <c r="A502" s="97" t="n"/>
      <c r="B502" s="97" t="n"/>
    </row>
    <row r="503" ht="15.75" customHeight="1" s="163">
      <c r="A503" s="97" t="n"/>
      <c r="B503" s="97" t="n"/>
    </row>
    <row r="504" ht="15.75" customHeight="1" s="163">
      <c r="A504" s="97" t="n"/>
      <c r="B504" s="97" t="n"/>
    </row>
    <row r="505" ht="15.75" customHeight="1" s="163">
      <c r="A505" s="97" t="n"/>
      <c r="B505" s="97" t="n"/>
    </row>
    <row r="506" ht="15.75" customHeight="1" s="163">
      <c r="A506" s="97" t="n"/>
      <c r="B506" s="97" t="n"/>
    </row>
    <row r="507" ht="15.75" customHeight="1" s="163">
      <c r="A507" s="97" t="n"/>
      <c r="B507" s="97" t="n"/>
    </row>
    <row r="508" ht="15.75" customHeight="1" s="163">
      <c r="A508" s="97" t="n"/>
      <c r="B508" s="97" t="n"/>
    </row>
    <row r="509" ht="15.75" customHeight="1" s="163">
      <c r="A509" s="97" t="n"/>
      <c r="B509" s="97" t="n"/>
    </row>
    <row r="510" ht="15.75" customHeight="1" s="163">
      <c r="A510" s="97" t="n"/>
      <c r="B510" s="97" t="n"/>
    </row>
    <row r="511" ht="15.75" customHeight="1" s="163">
      <c r="A511" s="97" t="n"/>
      <c r="B511" s="97" t="n"/>
    </row>
    <row r="512" ht="15.75" customHeight="1" s="163">
      <c r="A512" s="97" t="n"/>
      <c r="B512" s="97" t="n"/>
    </row>
    <row r="513" ht="15.75" customHeight="1" s="163">
      <c r="A513" s="97" t="n"/>
      <c r="B513" s="97" t="n"/>
    </row>
    <row r="514" ht="15.75" customHeight="1" s="163">
      <c r="A514" s="97" t="n"/>
      <c r="B514" s="97" t="n"/>
    </row>
    <row r="515" ht="15.75" customHeight="1" s="163">
      <c r="A515" s="97" t="n"/>
      <c r="B515" s="97" t="n"/>
    </row>
    <row r="516" ht="15.75" customHeight="1" s="163">
      <c r="A516" s="97" t="n"/>
      <c r="B516" s="97" t="n"/>
    </row>
    <row r="517" ht="15.75" customHeight="1" s="163">
      <c r="A517" s="97" t="n"/>
      <c r="B517" s="97" t="n"/>
    </row>
    <row r="518" ht="15.75" customHeight="1" s="163">
      <c r="A518" s="97" t="n"/>
      <c r="B518" s="97" t="n"/>
    </row>
    <row r="519" ht="15.75" customHeight="1" s="163">
      <c r="A519" s="97" t="n"/>
      <c r="B519" s="97" t="n"/>
    </row>
    <row r="520" ht="15.75" customHeight="1" s="163">
      <c r="A520" s="97" t="n"/>
      <c r="B520" s="97" t="n"/>
    </row>
    <row r="521" ht="15.75" customHeight="1" s="163">
      <c r="A521" s="97" t="n"/>
      <c r="B521" s="97" t="n"/>
    </row>
    <row r="522" ht="15.75" customHeight="1" s="163">
      <c r="A522" s="97" t="n"/>
      <c r="B522" s="97" t="n"/>
    </row>
    <row r="523" ht="15.75" customHeight="1" s="163">
      <c r="A523" s="97" t="n"/>
      <c r="B523" s="97" t="n"/>
    </row>
    <row r="524" ht="15.75" customHeight="1" s="163">
      <c r="A524" s="97" t="n"/>
      <c r="B524" s="97" t="n"/>
    </row>
    <row r="525" ht="15.75" customHeight="1" s="163">
      <c r="A525" s="97" t="n"/>
      <c r="B525" s="97" t="n"/>
    </row>
    <row r="526" ht="15.75" customHeight="1" s="163">
      <c r="A526" s="97" t="n"/>
      <c r="B526" s="97" t="n"/>
    </row>
    <row r="527" ht="15.75" customHeight="1" s="163">
      <c r="A527" s="97" t="n"/>
      <c r="B527" s="97" t="n"/>
    </row>
    <row r="528" ht="15.75" customHeight="1" s="163">
      <c r="A528" s="97" t="n"/>
      <c r="B528" s="97" t="n"/>
    </row>
    <row r="529" ht="15.75" customHeight="1" s="163">
      <c r="A529" s="97" t="n"/>
      <c r="B529" s="97" t="n"/>
    </row>
    <row r="530" ht="15.75" customHeight="1" s="163">
      <c r="A530" s="97" t="n"/>
      <c r="B530" s="97" t="n"/>
    </row>
    <row r="531" ht="15.75" customHeight="1" s="163">
      <c r="A531" s="97" t="n"/>
      <c r="B531" s="97" t="n"/>
    </row>
    <row r="532" ht="15.75" customHeight="1" s="163">
      <c r="A532" s="97" t="n"/>
      <c r="B532" s="97" t="n"/>
    </row>
    <row r="533" ht="15.75" customHeight="1" s="163">
      <c r="A533" s="97" t="n"/>
      <c r="B533" s="97" t="n"/>
    </row>
    <row r="534" ht="15.75" customHeight="1" s="163">
      <c r="A534" s="97" t="n"/>
      <c r="B534" s="97" t="n"/>
    </row>
    <row r="535" ht="15.75" customHeight="1" s="163">
      <c r="A535" s="97" t="n"/>
      <c r="B535" s="97" t="n"/>
    </row>
    <row r="536" ht="15.75" customHeight="1" s="163">
      <c r="A536" s="97" t="n"/>
      <c r="B536" s="97" t="n"/>
    </row>
    <row r="537" ht="15.75" customHeight="1" s="163">
      <c r="A537" s="97" t="n"/>
      <c r="B537" s="97" t="n"/>
    </row>
    <row r="538" ht="15.75" customHeight="1" s="163">
      <c r="A538" s="97" t="n"/>
      <c r="B538" s="97" t="n"/>
    </row>
    <row r="539" ht="15.75" customHeight="1" s="163">
      <c r="A539" s="97" t="n"/>
      <c r="B539" s="97" t="n"/>
    </row>
    <row r="540" ht="15.75" customHeight="1" s="163">
      <c r="A540" s="97" t="n"/>
      <c r="B540" s="97" t="n"/>
    </row>
    <row r="541" ht="15.75" customHeight="1" s="163">
      <c r="A541" s="97" t="n"/>
      <c r="B541" s="97" t="n"/>
    </row>
    <row r="542" ht="15.75" customHeight="1" s="163">
      <c r="A542" s="97" t="n"/>
      <c r="B542" s="97" t="n"/>
    </row>
    <row r="543" ht="15.75" customHeight="1" s="163">
      <c r="A543" s="97" t="n"/>
      <c r="B543" s="97" t="n"/>
    </row>
    <row r="544" ht="15.75" customHeight="1" s="163">
      <c r="A544" s="97" t="n"/>
      <c r="B544" s="97" t="n"/>
    </row>
    <row r="545" ht="15.75" customHeight="1" s="163">
      <c r="A545" s="97" t="n"/>
      <c r="B545" s="97" t="n"/>
    </row>
    <row r="546" ht="15.75" customHeight="1" s="163">
      <c r="A546" s="97" t="n"/>
      <c r="B546" s="97" t="n"/>
    </row>
    <row r="547" ht="15.75" customHeight="1" s="163">
      <c r="A547" s="97" t="n"/>
      <c r="B547" s="97" t="n"/>
    </row>
    <row r="548" ht="15.75" customHeight="1" s="163">
      <c r="A548" s="97" t="n"/>
      <c r="B548" s="97" t="n"/>
    </row>
    <row r="549" ht="15.75" customHeight="1" s="163">
      <c r="A549" s="97" t="n"/>
      <c r="B549" s="97" t="n"/>
    </row>
    <row r="550" ht="15.75" customHeight="1" s="163">
      <c r="A550" s="97" t="n"/>
      <c r="B550" s="97" t="n"/>
    </row>
    <row r="551" ht="15.75" customHeight="1" s="163">
      <c r="A551" s="97" t="n"/>
      <c r="B551" s="97" t="n"/>
    </row>
    <row r="552" ht="15.75" customHeight="1" s="163">
      <c r="A552" s="97" t="n"/>
      <c r="B552" s="97" t="n"/>
    </row>
    <row r="553" ht="15.75" customHeight="1" s="163">
      <c r="A553" s="97" t="n"/>
      <c r="B553" s="97" t="n"/>
    </row>
    <row r="554" ht="15.75" customHeight="1" s="163">
      <c r="A554" s="97" t="n"/>
      <c r="B554" s="97" t="n"/>
    </row>
    <row r="555" ht="15.75" customHeight="1" s="163">
      <c r="A555" s="97" t="n"/>
      <c r="B555" s="97" t="n"/>
    </row>
    <row r="556" ht="15.75" customHeight="1" s="163">
      <c r="A556" s="97" t="n"/>
      <c r="B556" s="97" t="n"/>
    </row>
    <row r="557" ht="15.75" customHeight="1" s="163">
      <c r="A557" s="97" t="n"/>
      <c r="B557" s="97" t="n"/>
    </row>
    <row r="558" ht="15.75" customHeight="1" s="163">
      <c r="A558" s="97" t="n"/>
      <c r="B558" s="97" t="n"/>
    </row>
    <row r="559" ht="15.75" customHeight="1" s="163">
      <c r="A559" s="97" t="n"/>
      <c r="B559" s="97" t="n"/>
    </row>
    <row r="560" ht="15.75" customHeight="1" s="163">
      <c r="A560" s="97" t="n"/>
      <c r="B560" s="97" t="n"/>
    </row>
    <row r="561" ht="15.75" customHeight="1" s="163">
      <c r="A561" s="97" t="n"/>
      <c r="B561" s="97" t="n"/>
    </row>
    <row r="562" ht="15.75" customHeight="1" s="163">
      <c r="A562" s="97" t="n"/>
      <c r="B562" s="97" t="n"/>
    </row>
    <row r="563" ht="15.75" customHeight="1" s="163">
      <c r="A563" s="97" t="n"/>
      <c r="B563" s="97" t="n"/>
    </row>
    <row r="564" ht="15.75" customHeight="1" s="163">
      <c r="A564" s="97" t="n"/>
      <c r="B564" s="97" t="n"/>
    </row>
    <row r="565" ht="15.75" customHeight="1" s="163">
      <c r="A565" s="97" t="n"/>
      <c r="B565" s="97" t="n"/>
    </row>
    <row r="566" ht="15.75" customHeight="1" s="163">
      <c r="A566" s="97" t="n"/>
      <c r="B566" s="97" t="n"/>
    </row>
    <row r="567" ht="15.75" customHeight="1" s="163">
      <c r="A567" s="97" t="n"/>
      <c r="B567" s="97" t="n"/>
    </row>
    <row r="568" ht="15.75" customHeight="1" s="163">
      <c r="A568" s="97" t="n"/>
      <c r="B568" s="97" t="n"/>
    </row>
    <row r="569" ht="15.75" customHeight="1" s="163">
      <c r="A569" s="97" t="n"/>
      <c r="B569" s="97" t="n"/>
    </row>
    <row r="570" ht="15.75" customHeight="1" s="163">
      <c r="A570" s="97" t="n"/>
      <c r="B570" s="97" t="n"/>
    </row>
    <row r="571" ht="15.75" customHeight="1" s="163">
      <c r="A571" s="97" t="n"/>
      <c r="B571" s="97" t="n"/>
    </row>
    <row r="572" ht="15.75" customHeight="1" s="163">
      <c r="A572" s="97" t="n"/>
      <c r="B572" s="97" t="n"/>
    </row>
    <row r="573" ht="15.75" customHeight="1" s="163">
      <c r="A573" s="97" t="n"/>
      <c r="B573" s="97" t="n"/>
    </row>
    <row r="574" ht="15.75" customHeight="1" s="163">
      <c r="A574" s="97" t="n"/>
      <c r="B574" s="97" t="n"/>
    </row>
    <row r="575" ht="15.75" customHeight="1" s="163">
      <c r="A575" s="97" t="n"/>
      <c r="B575" s="97" t="n"/>
    </row>
    <row r="576" ht="15.75" customHeight="1" s="163">
      <c r="A576" s="97" t="n"/>
      <c r="B576" s="97" t="n"/>
    </row>
    <row r="577" ht="15.75" customHeight="1" s="163">
      <c r="A577" s="97" t="n"/>
      <c r="B577" s="97" t="n"/>
    </row>
    <row r="578" ht="15.75" customHeight="1" s="163">
      <c r="A578" s="97" t="n"/>
      <c r="B578" s="97" t="n"/>
    </row>
    <row r="579" ht="15.75" customHeight="1" s="163">
      <c r="A579" s="97" t="n"/>
      <c r="B579" s="97" t="n"/>
    </row>
    <row r="580" ht="15.75" customHeight="1" s="163">
      <c r="A580" s="97" t="n"/>
      <c r="B580" s="97" t="n"/>
    </row>
    <row r="581" ht="15.75" customHeight="1" s="163">
      <c r="A581" s="97" t="n"/>
      <c r="B581" s="97" t="n"/>
    </row>
    <row r="582" ht="15.75" customHeight="1" s="163">
      <c r="A582" s="97" t="n"/>
      <c r="B582" s="97" t="n"/>
    </row>
    <row r="583" ht="15.75" customHeight="1" s="163">
      <c r="A583" s="97" t="n"/>
      <c r="B583" s="97" t="n"/>
    </row>
    <row r="584" ht="15.75" customHeight="1" s="163">
      <c r="A584" s="97" t="n"/>
      <c r="B584" s="97" t="n"/>
    </row>
    <row r="585" ht="15.75" customHeight="1" s="163">
      <c r="A585" s="97" t="n"/>
      <c r="B585" s="97" t="n"/>
    </row>
    <row r="586" ht="15.75" customHeight="1" s="163">
      <c r="A586" s="97" t="n"/>
      <c r="B586" s="97" t="n"/>
    </row>
    <row r="587" ht="15.75" customHeight="1" s="163">
      <c r="A587" s="97" t="n"/>
      <c r="B587" s="97" t="n"/>
    </row>
    <row r="588" ht="15.75" customHeight="1" s="163">
      <c r="A588" s="97" t="n"/>
      <c r="B588" s="97" t="n"/>
    </row>
    <row r="589" ht="15.75" customHeight="1" s="163">
      <c r="A589" s="97" t="n"/>
      <c r="B589" s="97" t="n"/>
    </row>
    <row r="590" ht="15.75" customHeight="1" s="163">
      <c r="A590" s="97" t="n"/>
      <c r="B590" s="97" t="n"/>
    </row>
    <row r="591" ht="15.75" customHeight="1" s="163">
      <c r="A591" s="97" t="n"/>
      <c r="B591" s="97" t="n"/>
    </row>
    <row r="592" ht="15.75" customHeight="1" s="163">
      <c r="A592" s="97" t="n"/>
      <c r="B592" s="97" t="n"/>
    </row>
    <row r="593" ht="15.75" customHeight="1" s="163">
      <c r="A593" s="97" t="n"/>
      <c r="B593" s="97" t="n"/>
    </row>
    <row r="594" ht="15.75" customHeight="1" s="163">
      <c r="A594" s="97" t="n"/>
      <c r="B594" s="97" t="n"/>
    </row>
    <row r="595" ht="15.75" customHeight="1" s="163">
      <c r="A595" s="97" t="n"/>
      <c r="B595" s="97" t="n"/>
    </row>
    <row r="596" ht="15.75" customHeight="1" s="163">
      <c r="A596" s="97" t="n"/>
      <c r="B596" s="97" t="n"/>
    </row>
    <row r="597" ht="15.75" customHeight="1" s="163">
      <c r="A597" s="97" t="n"/>
      <c r="B597" s="97" t="n"/>
    </row>
    <row r="598" ht="15.75" customHeight="1" s="163">
      <c r="A598" s="97" t="n"/>
      <c r="B598" s="97" t="n"/>
    </row>
    <row r="599" ht="15.75" customHeight="1" s="163">
      <c r="A599" s="97" t="n"/>
      <c r="B599" s="97" t="n"/>
    </row>
    <row r="600" ht="15.75" customHeight="1" s="163">
      <c r="A600" s="97" t="n"/>
      <c r="B600" s="97" t="n"/>
    </row>
    <row r="601" ht="15.75" customHeight="1" s="163">
      <c r="A601" s="97" t="n"/>
      <c r="B601" s="97" t="n"/>
    </row>
    <row r="602" ht="15.75" customHeight="1" s="163">
      <c r="A602" s="97" t="n"/>
      <c r="B602" s="97" t="n"/>
    </row>
    <row r="603" ht="15.75" customHeight="1" s="163">
      <c r="A603" s="97" t="n"/>
      <c r="B603" s="97" t="n"/>
    </row>
    <row r="604" ht="15.75" customHeight="1" s="163">
      <c r="A604" s="97" t="n"/>
      <c r="B604" s="97" t="n"/>
    </row>
    <row r="605" ht="15.75" customHeight="1" s="163">
      <c r="A605" s="97" t="n"/>
      <c r="B605" s="97" t="n"/>
    </row>
    <row r="606" ht="15.75" customHeight="1" s="163">
      <c r="A606" s="97" t="n"/>
      <c r="B606" s="97" t="n"/>
    </row>
    <row r="607" ht="15.75" customHeight="1" s="163">
      <c r="A607" s="97" t="n"/>
      <c r="B607" s="97" t="n"/>
    </row>
    <row r="608" ht="15.75" customHeight="1" s="163">
      <c r="A608" s="97" t="n"/>
      <c r="B608" s="97" t="n"/>
    </row>
    <row r="609" ht="15.75" customHeight="1" s="163">
      <c r="A609" s="97" t="n"/>
      <c r="B609" s="97" t="n"/>
    </row>
    <row r="610" ht="15.75" customHeight="1" s="163">
      <c r="A610" s="97" t="n"/>
      <c r="B610" s="97" t="n"/>
    </row>
    <row r="611" ht="15.75" customHeight="1" s="163">
      <c r="A611" s="97" t="n"/>
      <c r="B611" s="97" t="n"/>
    </row>
    <row r="612" ht="15.75" customHeight="1" s="163">
      <c r="A612" s="97" t="n"/>
      <c r="B612" s="97" t="n"/>
    </row>
    <row r="613" ht="15.75" customHeight="1" s="163">
      <c r="A613" s="97" t="n"/>
      <c r="B613" s="97" t="n"/>
    </row>
    <row r="614" ht="15.75" customHeight="1" s="163">
      <c r="A614" s="97" t="n"/>
      <c r="B614" s="97" t="n"/>
    </row>
    <row r="615" ht="15.75" customHeight="1" s="163">
      <c r="A615" s="97" t="n"/>
      <c r="B615" s="97" t="n"/>
    </row>
    <row r="616" ht="15.75" customHeight="1" s="163">
      <c r="A616" s="97" t="n"/>
      <c r="B616" s="97" t="n"/>
    </row>
    <row r="617" ht="15.75" customHeight="1" s="163">
      <c r="A617" s="97" t="n"/>
      <c r="B617" s="97" t="n"/>
    </row>
    <row r="618" ht="15.75" customHeight="1" s="163">
      <c r="A618" s="97" t="n"/>
      <c r="B618" s="97" t="n"/>
    </row>
    <row r="619" ht="15.75" customHeight="1" s="163">
      <c r="A619" s="97" t="n"/>
      <c r="B619" s="97" t="n"/>
    </row>
    <row r="620" ht="15.75" customHeight="1" s="163">
      <c r="A620" s="97" t="n"/>
      <c r="B620" s="97" t="n"/>
    </row>
    <row r="621" ht="15.75" customHeight="1" s="163">
      <c r="A621" s="97" t="n"/>
      <c r="B621" s="97" t="n"/>
    </row>
    <row r="622" ht="15.75" customHeight="1" s="163">
      <c r="A622" s="97" t="n"/>
      <c r="B622" s="97" t="n"/>
    </row>
    <row r="623" ht="15.75" customHeight="1" s="163">
      <c r="A623" s="97" t="n"/>
      <c r="B623" s="97" t="n"/>
    </row>
    <row r="624" ht="15.75" customHeight="1" s="163">
      <c r="A624" s="97" t="n"/>
      <c r="B624" s="97" t="n"/>
    </row>
    <row r="625" ht="15.75" customHeight="1" s="163">
      <c r="A625" s="97" t="n"/>
      <c r="B625" s="97" t="n"/>
    </row>
    <row r="626" ht="15.75" customHeight="1" s="163">
      <c r="A626" s="97" t="n"/>
      <c r="B626" s="97" t="n"/>
    </row>
    <row r="627" ht="15.75" customHeight="1" s="163">
      <c r="A627" s="97" t="n"/>
      <c r="B627" s="97" t="n"/>
    </row>
    <row r="628" ht="15.75" customHeight="1" s="163">
      <c r="A628" s="97" t="n"/>
      <c r="B628" s="97" t="n"/>
    </row>
    <row r="629" ht="15.75" customHeight="1" s="163">
      <c r="A629" s="97" t="n"/>
      <c r="B629" s="97" t="n"/>
    </row>
    <row r="630" ht="15.75" customHeight="1" s="163">
      <c r="A630" s="97" t="n"/>
      <c r="B630" s="97" t="n"/>
    </row>
    <row r="631" ht="15.75" customHeight="1" s="163">
      <c r="A631" s="97" t="n"/>
      <c r="B631" s="97" t="n"/>
    </row>
    <row r="632" ht="15.75" customHeight="1" s="163">
      <c r="A632" s="97" t="n"/>
      <c r="B632" s="97" t="n"/>
    </row>
    <row r="633" ht="15.75" customHeight="1" s="163">
      <c r="A633" s="97" t="n"/>
      <c r="B633" s="97" t="n"/>
    </row>
    <row r="634" ht="15.75" customHeight="1" s="163">
      <c r="A634" s="97" t="n"/>
      <c r="B634" s="97" t="n"/>
    </row>
    <row r="635" ht="15.75" customHeight="1" s="163">
      <c r="A635" s="97" t="n"/>
      <c r="B635" s="97" t="n"/>
    </row>
    <row r="636" ht="15.75" customHeight="1" s="163">
      <c r="A636" s="97" t="n"/>
      <c r="B636" s="97" t="n"/>
    </row>
    <row r="637" ht="15.75" customHeight="1" s="163">
      <c r="A637" s="97" t="n"/>
      <c r="B637" s="97" t="n"/>
    </row>
    <row r="638" ht="15.75" customHeight="1" s="163">
      <c r="A638" s="97" t="n"/>
      <c r="B638" s="97" t="n"/>
    </row>
    <row r="639" ht="15.75" customHeight="1" s="163">
      <c r="A639" s="97" t="n"/>
      <c r="B639" s="97" t="n"/>
    </row>
    <row r="640" ht="15.75" customHeight="1" s="163">
      <c r="A640" s="97" t="n"/>
      <c r="B640" s="97" t="n"/>
    </row>
    <row r="641" ht="15.75" customHeight="1" s="163">
      <c r="A641" s="97" t="n"/>
      <c r="B641" s="97" t="n"/>
    </row>
    <row r="642" ht="15.75" customHeight="1" s="163">
      <c r="A642" s="97" t="n"/>
      <c r="B642" s="97" t="n"/>
    </row>
    <row r="643" ht="15.75" customHeight="1" s="163">
      <c r="A643" s="97" t="n"/>
      <c r="B643" s="97" t="n"/>
    </row>
    <row r="644" ht="15.75" customHeight="1" s="163">
      <c r="A644" s="97" t="n"/>
      <c r="B644" s="97" t="n"/>
    </row>
    <row r="645" ht="15.75" customHeight="1" s="163">
      <c r="A645" s="97" t="n"/>
      <c r="B645" s="97" t="n"/>
    </row>
    <row r="646" ht="15.75" customHeight="1" s="163">
      <c r="A646" s="97" t="n"/>
      <c r="B646" s="97" t="n"/>
    </row>
    <row r="647" ht="15.75" customHeight="1" s="163">
      <c r="A647" s="97" t="n"/>
      <c r="B647" s="97" t="n"/>
    </row>
    <row r="648" ht="15.75" customHeight="1" s="163">
      <c r="A648" s="97" t="n"/>
      <c r="B648" s="97" t="n"/>
    </row>
    <row r="649" ht="15.75" customHeight="1" s="163">
      <c r="A649" s="97" t="n"/>
      <c r="B649" s="97" t="n"/>
    </row>
    <row r="650" ht="15.75" customHeight="1" s="163">
      <c r="A650" s="97" t="n"/>
      <c r="B650" s="97" t="n"/>
    </row>
    <row r="651" ht="15.75" customHeight="1" s="163">
      <c r="A651" s="97" t="n"/>
      <c r="B651" s="97" t="n"/>
    </row>
    <row r="652" ht="15.75" customHeight="1" s="163">
      <c r="A652" s="97" t="n"/>
      <c r="B652" s="97" t="n"/>
    </row>
    <row r="653" ht="15.75" customHeight="1" s="163">
      <c r="A653" s="97" t="n"/>
      <c r="B653" s="97" t="n"/>
    </row>
    <row r="654" ht="15.75" customHeight="1" s="163">
      <c r="A654" s="97" t="n"/>
      <c r="B654" s="97" t="n"/>
    </row>
    <row r="655" ht="15.75" customHeight="1" s="163">
      <c r="A655" s="97" t="n"/>
      <c r="B655" s="97" t="n"/>
    </row>
    <row r="656" ht="15.75" customHeight="1" s="163">
      <c r="A656" s="97" t="n"/>
      <c r="B656" s="97" t="n"/>
    </row>
    <row r="657" ht="15.75" customHeight="1" s="163">
      <c r="A657" s="97" t="n"/>
      <c r="B657" s="97" t="n"/>
    </row>
    <row r="658" ht="15.75" customHeight="1" s="163">
      <c r="A658" s="97" t="n"/>
      <c r="B658" s="97" t="n"/>
    </row>
    <row r="659" ht="15.75" customHeight="1" s="163">
      <c r="A659" s="97" t="n"/>
      <c r="B659" s="97" t="n"/>
    </row>
    <row r="660" ht="15.75" customHeight="1" s="163">
      <c r="A660" s="97" t="n"/>
      <c r="B660" s="97" t="n"/>
    </row>
    <row r="661" ht="15.75" customHeight="1" s="163">
      <c r="A661" s="97" t="n"/>
      <c r="B661" s="97" t="n"/>
    </row>
    <row r="662" ht="15.75" customHeight="1" s="163">
      <c r="A662" s="97" t="n"/>
      <c r="B662" s="97" t="n"/>
    </row>
    <row r="663" ht="15.75" customHeight="1" s="163">
      <c r="A663" s="97" t="n"/>
      <c r="B663" s="97" t="n"/>
    </row>
    <row r="664" ht="15.75" customHeight="1" s="163">
      <c r="A664" s="97" t="n"/>
      <c r="B664" s="97" t="n"/>
    </row>
    <row r="665" ht="15.75" customHeight="1" s="163">
      <c r="A665" s="97" t="n"/>
      <c r="B665" s="97" t="n"/>
    </row>
    <row r="666" ht="15.75" customHeight="1" s="163">
      <c r="A666" s="97" t="n"/>
      <c r="B666" s="97" t="n"/>
    </row>
    <row r="667" ht="15.75" customHeight="1" s="163">
      <c r="A667" s="97" t="n"/>
      <c r="B667" s="97" t="n"/>
    </row>
    <row r="668" ht="15.75" customHeight="1" s="163">
      <c r="A668" s="97" t="n"/>
      <c r="B668" s="97" t="n"/>
    </row>
    <row r="669" ht="15.75" customHeight="1" s="163">
      <c r="A669" s="97" t="n"/>
      <c r="B669" s="97" t="n"/>
    </row>
    <row r="670" ht="15.75" customHeight="1" s="163">
      <c r="A670" s="97" t="n"/>
      <c r="B670" s="97" t="n"/>
    </row>
    <row r="671" ht="15.75" customHeight="1" s="163">
      <c r="A671" s="97" t="n"/>
      <c r="B671" s="97" t="n"/>
    </row>
    <row r="672" ht="15.75" customHeight="1" s="163">
      <c r="A672" s="97" t="n"/>
      <c r="B672" s="97" t="n"/>
    </row>
    <row r="673" ht="15.75" customHeight="1" s="163">
      <c r="A673" s="97" t="n"/>
      <c r="B673" s="97" t="n"/>
    </row>
    <row r="674" ht="15.75" customHeight="1" s="163">
      <c r="A674" s="97" t="n"/>
      <c r="B674" s="97" t="n"/>
    </row>
    <row r="675" ht="15.75" customHeight="1" s="163">
      <c r="A675" s="97" t="n"/>
      <c r="B675" s="97" t="n"/>
    </row>
    <row r="676" ht="15.75" customHeight="1" s="163">
      <c r="A676" s="97" t="n"/>
      <c r="B676" s="97" t="n"/>
    </row>
    <row r="677" ht="15.75" customHeight="1" s="163">
      <c r="A677" s="97" t="n"/>
      <c r="B677" s="97" t="n"/>
    </row>
    <row r="678" ht="15.75" customHeight="1" s="163">
      <c r="A678" s="97" t="n"/>
      <c r="B678" s="97" t="n"/>
    </row>
    <row r="679" ht="15.75" customHeight="1" s="163">
      <c r="A679" s="97" t="n"/>
      <c r="B679" s="97" t="n"/>
    </row>
    <row r="680" ht="15.75" customHeight="1" s="163">
      <c r="A680" s="97" t="n"/>
      <c r="B680" s="97" t="n"/>
    </row>
    <row r="681" ht="15.75" customHeight="1" s="163">
      <c r="A681" s="97" t="n"/>
      <c r="B681" s="97" t="n"/>
    </row>
    <row r="682" ht="15.75" customHeight="1" s="163">
      <c r="A682" s="97" t="n"/>
      <c r="B682" s="97" t="n"/>
    </row>
    <row r="683" ht="15.75" customHeight="1" s="163">
      <c r="A683" s="97" t="n"/>
      <c r="B683" s="97" t="n"/>
    </row>
    <row r="684" ht="15.75" customHeight="1" s="163">
      <c r="A684" s="97" t="n"/>
      <c r="B684" s="97" t="n"/>
    </row>
    <row r="685" ht="15.75" customHeight="1" s="163">
      <c r="A685" s="97" t="n"/>
      <c r="B685" s="97" t="n"/>
    </row>
    <row r="686" ht="15.75" customHeight="1" s="163">
      <c r="A686" s="97" t="n"/>
      <c r="B686" s="97" t="n"/>
    </row>
    <row r="687" ht="15.75" customHeight="1" s="163">
      <c r="A687" s="97" t="n"/>
      <c r="B687" s="97" t="n"/>
    </row>
    <row r="688" ht="15.75" customHeight="1" s="163">
      <c r="A688" s="97" t="n"/>
      <c r="B688" s="97" t="n"/>
    </row>
    <row r="689" ht="15.75" customHeight="1" s="163">
      <c r="A689" s="97" t="n"/>
      <c r="B689" s="97" t="n"/>
    </row>
    <row r="690" ht="15.75" customHeight="1" s="163">
      <c r="A690" s="97" t="n"/>
      <c r="B690" s="97" t="n"/>
    </row>
    <row r="691" ht="15.75" customHeight="1" s="163">
      <c r="A691" s="97" t="n"/>
      <c r="B691" s="97" t="n"/>
    </row>
    <row r="692" ht="15.75" customHeight="1" s="163">
      <c r="A692" s="97" t="n"/>
      <c r="B692" s="97" t="n"/>
    </row>
    <row r="693" ht="15.75" customHeight="1" s="163">
      <c r="A693" s="97" t="n"/>
      <c r="B693" s="97" t="n"/>
    </row>
    <row r="694" ht="15.75" customHeight="1" s="163">
      <c r="A694" s="97" t="n"/>
      <c r="B694" s="97" t="n"/>
    </row>
    <row r="695" ht="15.75" customHeight="1" s="163">
      <c r="A695" s="97" t="n"/>
      <c r="B695" s="97" t="n"/>
    </row>
    <row r="696" ht="15.75" customHeight="1" s="163">
      <c r="A696" s="97" t="n"/>
      <c r="B696" s="97" t="n"/>
    </row>
    <row r="697" ht="15.75" customHeight="1" s="163">
      <c r="A697" s="97" t="n"/>
      <c r="B697" s="97" t="n"/>
    </row>
    <row r="698" ht="15.75" customHeight="1" s="163">
      <c r="A698" s="97" t="n"/>
      <c r="B698" s="97" t="n"/>
    </row>
    <row r="699" ht="15.75" customHeight="1" s="163">
      <c r="A699" s="97" t="n"/>
      <c r="B699" s="97" t="n"/>
    </row>
    <row r="700" ht="15.75" customHeight="1" s="163">
      <c r="A700" s="97" t="n"/>
      <c r="B700" s="97" t="n"/>
    </row>
    <row r="701" ht="15.75" customHeight="1" s="163">
      <c r="A701" s="97" t="n"/>
      <c r="B701" s="97" t="n"/>
    </row>
    <row r="702" ht="15.75" customHeight="1" s="163">
      <c r="A702" s="97" t="n"/>
      <c r="B702" s="97" t="n"/>
    </row>
    <row r="703" ht="15.75" customHeight="1" s="163">
      <c r="A703" s="97" t="n"/>
      <c r="B703" s="97" t="n"/>
    </row>
    <row r="704" ht="15.75" customHeight="1" s="163">
      <c r="A704" s="97" t="n"/>
      <c r="B704" s="97" t="n"/>
    </row>
    <row r="705" ht="15.75" customHeight="1" s="163">
      <c r="A705" s="97" t="n"/>
      <c r="B705" s="97" t="n"/>
    </row>
    <row r="706" ht="15.75" customHeight="1" s="163">
      <c r="A706" s="97" t="n"/>
      <c r="B706" s="97" t="n"/>
    </row>
    <row r="707" ht="15.75" customHeight="1" s="163">
      <c r="A707" s="97" t="n"/>
      <c r="B707" s="97" t="n"/>
    </row>
    <row r="708" ht="15.75" customHeight="1" s="163">
      <c r="A708" s="97" t="n"/>
      <c r="B708" s="97" t="n"/>
    </row>
    <row r="709" ht="15.75" customHeight="1" s="163">
      <c r="A709" s="97" t="n"/>
      <c r="B709" s="97" t="n"/>
    </row>
    <row r="710" ht="15.75" customHeight="1" s="163">
      <c r="A710" s="97" t="n"/>
      <c r="B710" s="97" t="n"/>
    </row>
    <row r="711" ht="15.75" customHeight="1" s="163">
      <c r="A711" s="97" t="n"/>
      <c r="B711" s="97" t="n"/>
    </row>
    <row r="712" ht="15.75" customHeight="1" s="163">
      <c r="A712" s="97" t="n"/>
      <c r="B712" s="97" t="n"/>
    </row>
    <row r="713" ht="15.75" customHeight="1" s="163">
      <c r="A713" s="97" t="n"/>
      <c r="B713" s="97" t="n"/>
    </row>
    <row r="714" ht="15.75" customHeight="1" s="163">
      <c r="A714" s="97" t="n"/>
      <c r="B714" s="97" t="n"/>
    </row>
    <row r="715" ht="15.75" customHeight="1" s="163">
      <c r="A715" s="97" t="n"/>
      <c r="B715" s="97" t="n"/>
    </row>
    <row r="716" ht="15.75" customHeight="1" s="163">
      <c r="A716" s="97" t="n"/>
      <c r="B716" s="97" t="n"/>
    </row>
    <row r="717" ht="15.75" customHeight="1" s="163">
      <c r="A717" s="97" t="n"/>
      <c r="B717" s="97" t="n"/>
    </row>
    <row r="718" ht="15.75" customHeight="1" s="163">
      <c r="A718" s="97" t="n"/>
      <c r="B718" s="97" t="n"/>
    </row>
    <row r="719" ht="15.75" customHeight="1" s="163">
      <c r="A719" s="97" t="n"/>
      <c r="B719" s="97" t="n"/>
    </row>
    <row r="720" ht="15.75" customHeight="1" s="163">
      <c r="A720" s="97" t="n"/>
      <c r="B720" s="97" t="n"/>
    </row>
    <row r="721" ht="15.75" customHeight="1" s="163">
      <c r="A721" s="97" t="n"/>
      <c r="B721" s="97" t="n"/>
    </row>
    <row r="722" ht="15.75" customHeight="1" s="163">
      <c r="A722" s="97" t="n"/>
      <c r="B722" s="97" t="n"/>
    </row>
    <row r="723" ht="15.75" customHeight="1" s="163">
      <c r="A723" s="97" t="n"/>
      <c r="B723" s="97" t="n"/>
    </row>
    <row r="724" ht="15.75" customHeight="1" s="163">
      <c r="A724" s="97" t="n"/>
      <c r="B724" s="97" t="n"/>
    </row>
    <row r="725" ht="15.75" customHeight="1" s="163">
      <c r="A725" s="97" t="n"/>
      <c r="B725" s="97" t="n"/>
    </row>
    <row r="726" ht="15.75" customHeight="1" s="163">
      <c r="A726" s="97" t="n"/>
      <c r="B726" s="97" t="n"/>
    </row>
    <row r="727" ht="15.75" customHeight="1" s="163">
      <c r="A727" s="97" t="n"/>
      <c r="B727" s="97" t="n"/>
    </row>
    <row r="728" ht="15.75" customHeight="1" s="163">
      <c r="A728" s="97" t="n"/>
      <c r="B728" s="97" t="n"/>
    </row>
    <row r="729" ht="15.75" customHeight="1" s="163">
      <c r="A729" s="97" t="n"/>
      <c r="B729" s="97" t="n"/>
    </row>
    <row r="730" ht="15.75" customHeight="1" s="163">
      <c r="A730" s="97" t="n"/>
      <c r="B730" s="97" t="n"/>
    </row>
    <row r="731" ht="15.75" customHeight="1" s="163">
      <c r="A731" s="97" t="n"/>
      <c r="B731" s="97" t="n"/>
    </row>
    <row r="732" ht="15.75" customHeight="1" s="163">
      <c r="A732" s="97" t="n"/>
      <c r="B732" s="97" t="n"/>
    </row>
    <row r="733" ht="15.75" customHeight="1" s="163">
      <c r="A733" s="97" t="n"/>
      <c r="B733" s="97" t="n"/>
    </row>
    <row r="734" ht="15.75" customHeight="1" s="163">
      <c r="A734" s="97" t="n"/>
      <c r="B734" s="97" t="n"/>
    </row>
    <row r="735" ht="15.75" customHeight="1" s="163">
      <c r="A735" s="97" t="n"/>
      <c r="B735" s="97" t="n"/>
    </row>
    <row r="736" ht="15.75" customHeight="1" s="163">
      <c r="A736" s="97" t="n"/>
      <c r="B736" s="97" t="n"/>
    </row>
    <row r="737" ht="15.75" customHeight="1" s="163">
      <c r="A737" s="97" t="n"/>
      <c r="B737" s="97" t="n"/>
    </row>
    <row r="738" ht="15.75" customHeight="1" s="163">
      <c r="A738" s="97" t="n"/>
      <c r="B738" s="97" t="n"/>
    </row>
    <row r="739" ht="15.75" customHeight="1" s="163">
      <c r="A739" s="97" t="n"/>
      <c r="B739" s="97" t="n"/>
    </row>
    <row r="740" ht="15.75" customHeight="1" s="163">
      <c r="A740" s="97" t="n"/>
      <c r="B740" s="97" t="n"/>
    </row>
    <row r="741" ht="15.75" customHeight="1" s="163">
      <c r="A741" s="97" t="n"/>
      <c r="B741" s="97" t="n"/>
    </row>
    <row r="742" ht="15.75" customHeight="1" s="163">
      <c r="A742" s="97" t="n"/>
      <c r="B742" s="97" t="n"/>
    </row>
    <row r="743" ht="15.75" customHeight="1" s="163">
      <c r="A743" s="97" t="n"/>
      <c r="B743" s="97" t="n"/>
    </row>
    <row r="744" ht="15.75" customHeight="1" s="163">
      <c r="A744" s="97" t="n"/>
      <c r="B744" s="97" t="n"/>
    </row>
    <row r="745" ht="15.75" customHeight="1" s="163">
      <c r="A745" s="97" t="n"/>
      <c r="B745" s="97" t="n"/>
    </row>
    <row r="746" ht="15.75" customHeight="1" s="163">
      <c r="A746" s="97" t="n"/>
      <c r="B746" s="97" t="n"/>
    </row>
    <row r="747" ht="15.75" customHeight="1" s="163">
      <c r="A747" s="97" t="n"/>
      <c r="B747" s="97" t="n"/>
    </row>
    <row r="748" ht="15.75" customHeight="1" s="163">
      <c r="A748" s="97" t="n"/>
      <c r="B748" s="97" t="n"/>
    </row>
    <row r="749" ht="15.75" customHeight="1" s="163">
      <c r="A749" s="97" t="n"/>
      <c r="B749" s="97" t="n"/>
    </row>
    <row r="750" ht="15.75" customHeight="1" s="163">
      <c r="A750" s="97" t="n"/>
      <c r="B750" s="97" t="n"/>
    </row>
    <row r="751" ht="15.75" customHeight="1" s="163">
      <c r="A751" s="97" t="n"/>
      <c r="B751" s="97" t="n"/>
    </row>
    <row r="752" ht="15.75" customHeight="1" s="163">
      <c r="A752" s="97" t="n"/>
      <c r="B752" s="97" t="n"/>
    </row>
    <row r="753" ht="15.75" customHeight="1" s="163">
      <c r="A753" s="97" t="n"/>
      <c r="B753" s="97" t="n"/>
    </row>
    <row r="754" ht="15.75" customHeight="1" s="163">
      <c r="A754" s="97" t="n"/>
      <c r="B754" s="97" t="n"/>
    </row>
    <row r="755" ht="15.75" customHeight="1" s="163">
      <c r="A755" s="97" t="n"/>
      <c r="B755" s="97" t="n"/>
    </row>
    <row r="756" ht="15.75" customHeight="1" s="163">
      <c r="A756" s="97" t="n"/>
      <c r="B756" s="97" t="n"/>
    </row>
    <row r="757" ht="15.75" customHeight="1" s="163">
      <c r="A757" s="97" t="n"/>
      <c r="B757" s="97" t="n"/>
    </row>
    <row r="758" ht="15.75" customHeight="1" s="163">
      <c r="A758" s="97" t="n"/>
      <c r="B758" s="97" t="n"/>
    </row>
    <row r="759" ht="15.75" customHeight="1" s="163">
      <c r="A759" s="97" t="n"/>
      <c r="B759" s="97" t="n"/>
    </row>
    <row r="760" ht="15.75" customHeight="1" s="163">
      <c r="A760" s="97" t="n"/>
      <c r="B760" s="97" t="n"/>
    </row>
    <row r="761" ht="15.75" customHeight="1" s="163">
      <c r="A761" s="97" t="n"/>
      <c r="B761" s="97" t="n"/>
    </row>
    <row r="762" ht="15.75" customHeight="1" s="163">
      <c r="A762" s="97" t="n"/>
      <c r="B762" s="97" t="n"/>
    </row>
    <row r="763" ht="15.75" customHeight="1" s="163">
      <c r="A763" s="97" t="n"/>
      <c r="B763" s="97" t="n"/>
    </row>
    <row r="764" ht="15.75" customHeight="1" s="163">
      <c r="A764" s="97" t="n"/>
      <c r="B764" s="97" t="n"/>
    </row>
    <row r="765" ht="15.75" customHeight="1" s="163">
      <c r="A765" s="97" t="n"/>
      <c r="B765" s="97" t="n"/>
    </row>
    <row r="766" ht="15.75" customHeight="1" s="163">
      <c r="A766" s="97" t="n"/>
      <c r="B766" s="97" t="n"/>
    </row>
    <row r="767" ht="15.75" customHeight="1" s="163">
      <c r="A767" s="97" t="n"/>
      <c r="B767" s="97" t="n"/>
    </row>
    <row r="768" ht="15.75" customHeight="1" s="163">
      <c r="A768" s="97" t="n"/>
      <c r="B768" s="97" t="n"/>
    </row>
    <row r="769" ht="15.75" customHeight="1" s="163">
      <c r="A769" s="97" t="n"/>
      <c r="B769" s="97" t="n"/>
    </row>
    <row r="770" ht="15.75" customHeight="1" s="163">
      <c r="A770" s="97" t="n"/>
      <c r="B770" s="97" t="n"/>
    </row>
    <row r="771" ht="15.75" customHeight="1" s="163">
      <c r="A771" s="97" t="n"/>
      <c r="B771" s="97" t="n"/>
    </row>
    <row r="772" ht="15.75" customHeight="1" s="163">
      <c r="A772" s="97" t="n"/>
      <c r="B772" s="97" t="n"/>
    </row>
    <row r="773" ht="15.75" customHeight="1" s="163">
      <c r="A773" s="97" t="n"/>
      <c r="B773" s="97" t="n"/>
    </row>
    <row r="774" ht="15.75" customHeight="1" s="163">
      <c r="A774" s="97" t="n"/>
      <c r="B774" s="97" t="n"/>
    </row>
    <row r="775" ht="15.75" customHeight="1" s="163">
      <c r="A775" s="97" t="n"/>
      <c r="B775" s="97" t="n"/>
    </row>
    <row r="776" ht="15.75" customHeight="1" s="163">
      <c r="A776" s="97" t="n"/>
      <c r="B776" s="97" t="n"/>
    </row>
    <row r="777" ht="15.75" customHeight="1" s="163">
      <c r="A777" s="97" t="n"/>
      <c r="B777" s="97" t="n"/>
    </row>
    <row r="778" ht="15.75" customHeight="1" s="163">
      <c r="A778" s="97" t="n"/>
      <c r="B778" s="97" t="n"/>
    </row>
    <row r="779" ht="15.75" customHeight="1" s="163">
      <c r="A779" s="97" t="n"/>
      <c r="B779" s="97" t="n"/>
    </row>
    <row r="780" ht="15.75" customHeight="1" s="163">
      <c r="A780" s="97" t="n"/>
      <c r="B780" s="97" t="n"/>
    </row>
    <row r="781" ht="15.75" customHeight="1" s="163">
      <c r="A781" s="97" t="n"/>
      <c r="B781" s="97" t="n"/>
    </row>
    <row r="782" ht="15.75" customHeight="1" s="163">
      <c r="A782" s="97" t="n"/>
      <c r="B782" s="97" t="n"/>
    </row>
    <row r="783" ht="15.75" customHeight="1" s="163">
      <c r="A783" s="97" t="n"/>
      <c r="B783" s="97" t="n"/>
    </row>
    <row r="784" ht="15.75" customHeight="1" s="163">
      <c r="A784" s="97" t="n"/>
      <c r="B784" s="97" t="n"/>
    </row>
    <row r="785" ht="15.75" customHeight="1" s="163">
      <c r="A785" s="97" t="n"/>
      <c r="B785" s="97" t="n"/>
    </row>
    <row r="786" ht="15.75" customHeight="1" s="163">
      <c r="A786" s="97" t="n"/>
      <c r="B786" s="97" t="n"/>
    </row>
    <row r="787" ht="15.75" customHeight="1" s="163">
      <c r="A787" s="97" t="n"/>
      <c r="B787" s="97" t="n"/>
    </row>
    <row r="788" ht="15.75" customHeight="1" s="163">
      <c r="A788" s="97" t="n"/>
      <c r="B788" s="97" t="n"/>
    </row>
    <row r="789" ht="15.75" customHeight="1" s="163">
      <c r="A789" s="97" t="n"/>
      <c r="B789" s="97" t="n"/>
    </row>
    <row r="790" ht="15.75" customHeight="1" s="163">
      <c r="A790" s="97" t="n"/>
      <c r="B790" s="97" t="n"/>
    </row>
    <row r="791" ht="15.75" customHeight="1" s="163">
      <c r="A791" s="97" t="n"/>
      <c r="B791" s="97" t="n"/>
    </row>
    <row r="792" ht="15.75" customHeight="1" s="163">
      <c r="A792" s="97" t="n"/>
      <c r="B792" s="97" t="n"/>
    </row>
    <row r="793" ht="15.75" customHeight="1" s="163">
      <c r="A793" s="97" t="n"/>
      <c r="B793" s="97" t="n"/>
    </row>
    <row r="794" ht="15.75" customHeight="1" s="163">
      <c r="A794" s="97" t="n"/>
      <c r="B794" s="97" t="n"/>
    </row>
    <row r="795" ht="15.75" customHeight="1" s="163">
      <c r="A795" s="97" t="n"/>
      <c r="B795" s="97" t="n"/>
    </row>
    <row r="796" ht="15.75" customHeight="1" s="163">
      <c r="A796" s="97" t="n"/>
      <c r="B796" s="97" t="n"/>
    </row>
    <row r="797" ht="15.75" customHeight="1" s="163">
      <c r="A797" s="97" t="n"/>
      <c r="B797" s="97" t="n"/>
    </row>
    <row r="798" ht="15.75" customHeight="1" s="163">
      <c r="A798" s="97" t="n"/>
      <c r="B798" s="97" t="n"/>
    </row>
    <row r="799" ht="15.75" customHeight="1" s="163">
      <c r="A799" s="97" t="n"/>
      <c r="B799" s="97" t="n"/>
    </row>
    <row r="800" ht="15.75" customHeight="1" s="163">
      <c r="A800" s="97" t="n"/>
      <c r="B800" s="97" t="n"/>
    </row>
    <row r="801" ht="15.75" customHeight="1" s="163">
      <c r="A801" s="97" t="n"/>
      <c r="B801" s="97" t="n"/>
    </row>
    <row r="802" ht="15.75" customHeight="1" s="163">
      <c r="A802" s="97" t="n"/>
      <c r="B802" s="97" t="n"/>
    </row>
    <row r="803" ht="15.75" customHeight="1" s="163">
      <c r="A803" s="97" t="n"/>
      <c r="B803" s="97" t="n"/>
    </row>
    <row r="804" ht="15.75" customHeight="1" s="163">
      <c r="A804" s="97" t="n"/>
      <c r="B804" s="97" t="n"/>
    </row>
    <row r="805" ht="15.75" customHeight="1" s="163">
      <c r="A805" s="97" t="n"/>
      <c r="B805" s="97" t="n"/>
    </row>
    <row r="806" ht="15.75" customHeight="1" s="163">
      <c r="A806" s="97" t="n"/>
      <c r="B806" s="97" t="n"/>
    </row>
    <row r="807" ht="15.75" customHeight="1" s="163">
      <c r="A807" s="97" t="n"/>
      <c r="B807" s="97" t="n"/>
    </row>
    <row r="808" ht="15.75" customHeight="1" s="163">
      <c r="A808" s="97" t="n"/>
      <c r="B808" s="97" t="n"/>
    </row>
    <row r="809" ht="15.75" customHeight="1" s="163">
      <c r="A809" s="97" t="n"/>
      <c r="B809" s="97" t="n"/>
    </row>
    <row r="810" ht="15.75" customHeight="1" s="163">
      <c r="A810" s="97" t="n"/>
      <c r="B810" s="97" t="n"/>
    </row>
    <row r="811" ht="15.75" customHeight="1" s="163">
      <c r="A811" s="97" t="n"/>
      <c r="B811" s="97" t="n"/>
    </row>
    <row r="812" ht="15.75" customHeight="1" s="163">
      <c r="A812" s="97" t="n"/>
      <c r="B812" s="97" t="n"/>
    </row>
    <row r="813" ht="15.75" customHeight="1" s="163">
      <c r="A813" s="97" t="n"/>
      <c r="B813" s="97" t="n"/>
    </row>
    <row r="814" ht="15.75" customHeight="1" s="163">
      <c r="A814" s="97" t="n"/>
      <c r="B814" s="97" t="n"/>
    </row>
    <row r="815" ht="15.75" customHeight="1" s="163">
      <c r="A815" s="97" t="n"/>
      <c r="B815" s="97" t="n"/>
    </row>
    <row r="816" ht="15.75" customHeight="1" s="163">
      <c r="A816" s="97" t="n"/>
      <c r="B816" s="97" t="n"/>
    </row>
    <row r="817" ht="15.75" customHeight="1" s="163">
      <c r="A817" s="97" t="n"/>
      <c r="B817" s="97" t="n"/>
    </row>
    <row r="818" ht="15.75" customHeight="1" s="163">
      <c r="A818" s="97" t="n"/>
      <c r="B818" s="97" t="n"/>
    </row>
    <row r="819" ht="15.75" customHeight="1" s="163">
      <c r="A819" s="97" t="n"/>
      <c r="B819" s="97" t="n"/>
    </row>
    <row r="820" ht="15.75" customHeight="1" s="163">
      <c r="A820" s="97" t="n"/>
      <c r="B820" s="97" t="n"/>
    </row>
    <row r="821" ht="15.75" customHeight="1" s="163">
      <c r="A821" s="97" t="n"/>
      <c r="B821" s="97" t="n"/>
    </row>
    <row r="822" ht="15.75" customHeight="1" s="163">
      <c r="A822" s="97" t="n"/>
      <c r="B822" s="97" t="n"/>
    </row>
    <row r="823" ht="15.75" customHeight="1" s="163">
      <c r="A823" s="97" t="n"/>
      <c r="B823" s="97" t="n"/>
    </row>
    <row r="824" ht="15.75" customHeight="1" s="163">
      <c r="A824" s="97" t="n"/>
      <c r="B824" s="97" t="n"/>
    </row>
    <row r="825" ht="15.75" customHeight="1" s="163">
      <c r="A825" s="97" t="n"/>
      <c r="B825" s="97" t="n"/>
    </row>
    <row r="826" ht="15.75" customHeight="1" s="163">
      <c r="A826" s="97" t="n"/>
      <c r="B826" s="97" t="n"/>
    </row>
    <row r="827" ht="15.75" customHeight="1" s="163">
      <c r="A827" s="97" t="n"/>
      <c r="B827" s="97" t="n"/>
    </row>
    <row r="828" ht="15.75" customHeight="1" s="163">
      <c r="A828" s="97" t="n"/>
      <c r="B828" s="97" t="n"/>
    </row>
    <row r="829" ht="15.75" customHeight="1" s="163">
      <c r="A829" s="97" t="n"/>
      <c r="B829" s="97" t="n"/>
    </row>
    <row r="830" ht="15.75" customHeight="1" s="163">
      <c r="A830" s="97" t="n"/>
      <c r="B830" s="97" t="n"/>
    </row>
    <row r="831" ht="15.75" customHeight="1" s="163">
      <c r="A831" s="97" t="n"/>
      <c r="B831" s="97" t="n"/>
    </row>
    <row r="832" ht="15.75" customHeight="1" s="163">
      <c r="A832" s="97" t="n"/>
      <c r="B832" s="97" t="n"/>
    </row>
    <row r="833" ht="15.75" customHeight="1" s="163">
      <c r="A833" s="97" t="n"/>
      <c r="B833" s="97" t="n"/>
    </row>
    <row r="834" ht="15.75" customHeight="1" s="163">
      <c r="A834" s="97" t="n"/>
      <c r="B834" s="97" t="n"/>
    </row>
    <row r="835" ht="15.75" customHeight="1" s="163">
      <c r="A835" s="97" t="n"/>
      <c r="B835" s="97" t="n"/>
    </row>
    <row r="836" ht="15.75" customHeight="1" s="163">
      <c r="A836" s="97" t="n"/>
      <c r="B836" s="97" t="n"/>
    </row>
    <row r="837" ht="15.75" customHeight="1" s="163">
      <c r="A837" s="97" t="n"/>
      <c r="B837" s="97" t="n"/>
    </row>
    <row r="838" ht="15.75" customHeight="1" s="163">
      <c r="A838" s="97" t="n"/>
      <c r="B838" s="97" t="n"/>
    </row>
    <row r="839" ht="15.75" customHeight="1" s="163">
      <c r="A839" s="97" t="n"/>
      <c r="B839" s="97" t="n"/>
    </row>
    <row r="840" ht="15.75" customHeight="1" s="163">
      <c r="A840" s="97" t="n"/>
      <c r="B840" s="97" t="n"/>
    </row>
    <row r="841" ht="15.75" customHeight="1" s="163">
      <c r="A841" s="97" t="n"/>
      <c r="B841" s="97" t="n"/>
    </row>
    <row r="842" ht="15.75" customHeight="1" s="163">
      <c r="A842" s="97" t="n"/>
      <c r="B842" s="97" t="n"/>
    </row>
    <row r="843" ht="15.75" customHeight="1" s="163">
      <c r="A843" s="97" t="n"/>
      <c r="B843" s="97" t="n"/>
    </row>
    <row r="844" ht="15.75" customHeight="1" s="163">
      <c r="A844" s="97" t="n"/>
      <c r="B844" s="97" t="n"/>
    </row>
    <row r="845" ht="15.75" customHeight="1" s="163">
      <c r="A845" s="97" t="n"/>
      <c r="B845" s="97" t="n"/>
    </row>
    <row r="846" ht="15.75" customHeight="1" s="163">
      <c r="A846" s="97" t="n"/>
      <c r="B846" s="97" t="n"/>
    </row>
    <row r="847" ht="15.75" customHeight="1" s="163">
      <c r="A847" s="97" t="n"/>
      <c r="B847" s="97" t="n"/>
    </row>
    <row r="848" ht="15.75" customHeight="1" s="163">
      <c r="A848" s="97" t="n"/>
      <c r="B848" s="97" t="n"/>
    </row>
    <row r="849" ht="15.75" customHeight="1" s="163">
      <c r="A849" s="97" t="n"/>
      <c r="B849" s="97" t="n"/>
    </row>
    <row r="850" ht="15.75" customHeight="1" s="163">
      <c r="A850" s="97" t="n"/>
      <c r="B850" s="97" t="n"/>
    </row>
    <row r="851" ht="15.75" customHeight="1" s="163">
      <c r="A851" s="97" t="n"/>
      <c r="B851" s="97" t="n"/>
    </row>
    <row r="852" ht="15.75" customHeight="1" s="163">
      <c r="A852" s="97" t="n"/>
      <c r="B852" s="97" t="n"/>
    </row>
    <row r="853" ht="15.75" customHeight="1" s="163">
      <c r="A853" s="97" t="n"/>
      <c r="B853" s="97" t="n"/>
    </row>
    <row r="854" ht="15.75" customHeight="1" s="163">
      <c r="A854" s="97" t="n"/>
      <c r="B854" s="97" t="n"/>
    </row>
    <row r="855" ht="15.75" customHeight="1" s="163">
      <c r="A855" s="97" t="n"/>
      <c r="B855" s="97" t="n"/>
    </row>
    <row r="856" ht="15.75" customHeight="1" s="163">
      <c r="A856" s="97" t="n"/>
      <c r="B856" s="97" t="n"/>
    </row>
    <row r="857" ht="15.75" customHeight="1" s="163">
      <c r="A857" s="97" t="n"/>
      <c r="B857" s="97" t="n"/>
    </row>
    <row r="858" ht="15.75" customHeight="1" s="163">
      <c r="A858" s="97" t="n"/>
      <c r="B858" s="97" t="n"/>
    </row>
    <row r="859" ht="15.75" customHeight="1" s="163">
      <c r="A859" s="97" t="n"/>
      <c r="B859" s="97" t="n"/>
    </row>
    <row r="860" ht="15.75" customHeight="1" s="163">
      <c r="A860" s="97" t="n"/>
      <c r="B860" s="97" t="n"/>
    </row>
    <row r="861" ht="15.75" customHeight="1" s="163">
      <c r="A861" s="97" t="n"/>
      <c r="B861" s="97" t="n"/>
    </row>
    <row r="862" ht="15.75" customHeight="1" s="163">
      <c r="A862" s="97" t="n"/>
      <c r="B862" s="97" t="n"/>
    </row>
    <row r="863" ht="15.75" customHeight="1" s="163">
      <c r="A863" s="97" t="n"/>
      <c r="B863" s="97" t="n"/>
    </row>
    <row r="864" ht="15.75" customHeight="1" s="163">
      <c r="A864" s="97" t="n"/>
      <c r="B864" s="97" t="n"/>
    </row>
    <row r="865" ht="15.75" customHeight="1" s="163">
      <c r="A865" s="97" t="n"/>
      <c r="B865" s="97" t="n"/>
    </row>
    <row r="866" ht="15.75" customHeight="1" s="163">
      <c r="A866" s="97" t="n"/>
      <c r="B866" s="97" t="n"/>
    </row>
    <row r="867" ht="15.75" customHeight="1" s="163">
      <c r="A867" s="97" t="n"/>
      <c r="B867" s="97" t="n"/>
    </row>
    <row r="868" ht="15.75" customHeight="1" s="163">
      <c r="A868" s="97" t="n"/>
      <c r="B868" s="97" t="n"/>
    </row>
    <row r="869" ht="15.75" customHeight="1" s="163">
      <c r="A869" s="97" t="n"/>
      <c r="B869" s="97" t="n"/>
    </row>
    <row r="870" ht="15.75" customHeight="1" s="163">
      <c r="A870" s="97" t="n"/>
      <c r="B870" s="97" t="n"/>
    </row>
    <row r="871" ht="15.75" customHeight="1" s="163">
      <c r="A871" s="97" t="n"/>
      <c r="B871" s="97" t="n"/>
    </row>
    <row r="872" ht="15.75" customHeight="1" s="163">
      <c r="A872" s="97" t="n"/>
      <c r="B872" s="97" t="n"/>
    </row>
    <row r="873" ht="15.75" customHeight="1" s="163">
      <c r="A873" s="97" t="n"/>
      <c r="B873" s="97" t="n"/>
    </row>
    <row r="874" ht="15.75" customHeight="1" s="163">
      <c r="A874" s="97" t="n"/>
      <c r="B874" s="97" t="n"/>
    </row>
    <row r="875" ht="15.75" customHeight="1" s="163">
      <c r="A875" s="97" t="n"/>
      <c r="B875" s="97" t="n"/>
    </row>
    <row r="876" ht="15.75" customHeight="1" s="163">
      <c r="A876" s="97" t="n"/>
      <c r="B876" s="97" t="n"/>
    </row>
    <row r="877" ht="15.75" customHeight="1" s="163">
      <c r="A877" s="97" t="n"/>
      <c r="B877" s="97" t="n"/>
    </row>
    <row r="878" ht="15.75" customHeight="1" s="163">
      <c r="A878" s="97" t="n"/>
      <c r="B878" s="97" t="n"/>
    </row>
    <row r="879" ht="15.75" customHeight="1" s="163">
      <c r="A879" s="97" t="n"/>
      <c r="B879" s="97" t="n"/>
    </row>
    <row r="880" ht="15.75" customHeight="1" s="163">
      <c r="A880" s="97" t="n"/>
      <c r="B880" s="97" t="n"/>
    </row>
    <row r="881" ht="15.75" customHeight="1" s="163">
      <c r="A881" s="97" t="n"/>
      <c r="B881" s="97" t="n"/>
    </row>
    <row r="882" ht="15.75" customHeight="1" s="163">
      <c r="A882" s="97" t="n"/>
      <c r="B882" s="97" t="n"/>
    </row>
    <row r="883" ht="15.75" customHeight="1" s="163">
      <c r="A883" s="97" t="n"/>
      <c r="B883" s="97" t="n"/>
    </row>
    <row r="884" ht="15.75" customHeight="1" s="163">
      <c r="A884" s="97" t="n"/>
      <c r="B884" s="97" t="n"/>
    </row>
    <row r="885" ht="15.75" customHeight="1" s="163">
      <c r="A885" s="97" t="n"/>
      <c r="B885" s="97" t="n"/>
    </row>
    <row r="886" ht="15.75" customHeight="1" s="163">
      <c r="A886" s="97" t="n"/>
      <c r="B886" s="97" t="n"/>
    </row>
    <row r="887" ht="15.75" customHeight="1" s="163">
      <c r="A887" s="97" t="n"/>
      <c r="B887" s="97" t="n"/>
    </row>
    <row r="888" ht="15.75" customHeight="1" s="163">
      <c r="A888" s="97" t="n"/>
      <c r="B888" s="97" t="n"/>
    </row>
    <row r="889" ht="15.75" customHeight="1" s="163">
      <c r="A889" s="97" t="n"/>
      <c r="B889" s="97" t="n"/>
    </row>
    <row r="890" ht="15.75" customHeight="1" s="163">
      <c r="A890" s="97" t="n"/>
      <c r="B890" s="97" t="n"/>
    </row>
    <row r="891" ht="15.75" customHeight="1" s="163">
      <c r="A891" s="97" t="n"/>
      <c r="B891" s="97" t="n"/>
    </row>
    <row r="892" ht="15.75" customHeight="1" s="163">
      <c r="A892" s="97" t="n"/>
      <c r="B892" s="97" t="n"/>
    </row>
    <row r="893" ht="15.75" customHeight="1" s="163">
      <c r="A893" s="97" t="n"/>
      <c r="B893" s="97" t="n"/>
    </row>
    <row r="894" ht="15.75" customHeight="1" s="163">
      <c r="A894" s="97" t="n"/>
      <c r="B894" s="97" t="n"/>
    </row>
    <row r="895" ht="15.75" customHeight="1" s="163">
      <c r="A895" s="97" t="n"/>
      <c r="B895" s="97" t="n"/>
    </row>
    <row r="896" ht="15.75" customHeight="1" s="163">
      <c r="A896" s="97" t="n"/>
      <c r="B896" s="97" t="n"/>
    </row>
    <row r="897" ht="15.75" customHeight="1" s="163">
      <c r="A897" s="97" t="n"/>
      <c r="B897" s="97" t="n"/>
    </row>
    <row r="898" ht="15.75" customHeight="1" s="163">
      <c r="A898" s="97" t="n"/>
      <c r="B898" s="97" t="n"/>
    </row>
    <row r="899" ht="15.75" customHeight="1" s="163">
      <c r="A899" s="97" t="n"/>
      <c r="B899" s="97" t="n"/>
    </row>
    <row r="900" ht="15.75" customHeight="1" s="163">
      <c r="A900" s="97" t="n"/>
      <c r="B900" s="97" t="n"/>
    </row>
    <row r="901" ht="15.75" customHeight="1" s="163">
      <c r="A901" s="97" t="n"/>
      <c r="B901" s="97" t="n"/>
    </row>
    <row r="902" ht="15.75" customHeight="1" s="163">
      <c r="A902" s="97" t="n"/>
      <c r="B902" s="97" t="n"/>
    </row>
    <row r="903" ht="15.75" customHeight="1" s="163">
      <c r="A903" s="97" t="n"/>
      <c r="B903" s="97" t="n"/>
    </row>
    <row r="904" ht="15.75" customHeight="1" s="163">
      <c r="A904" s="97" t="n"/>
      <c r="B904" s="97" t="n"/>
    </row>
    <row r="905" ht="15.75" customHeight="1" s="163">
      <c r="A905" s="97" t="n"/>
      <c r="B905" s="97" t="n"/>
    </row>
    <row r="906" ht="15.75" customHeight="1" s="163">
      <c r="A906" s="97" t="n"/>
      <c r="B906" s="97" t="n"/>
    </row>
    <row r="907" ht="15.75" customHeight="1" s="163">
      <c r="A907" s="97" t="n"/>
      <c r="B907" s="97" t="n"/>
    </row>
    <row r="908" ht="15.75" customHeight="1" s="163">
      <c r="A908" s="97" t="n"/>
      <c r="B908" s="97" t="n"/>
    </row>
    <row r="909" ht="15.75" customHeight="1" s="163">
      <c r="A909" s="97" t="n"/>
      <c r="B909" s="97" t="n"/>
    </row>
    <row r="910" ht="15.75" customHeight="1" s="163">
      <c r="A910" s="97" t="n"/>
      <c r="B910" s="97" t="n"/>
    </row>
    <row r="911" ht="15.75" customHeight="1" s="163">
      <c r="A911" s="97" t="n"/>
      <c r="B911" s="97" t="n"/>
    </row>
    <row r="912" ht="15.75" customHeight="1" s="163">
      <c r="A912" s="97" t="n"/>
      <c r="B912" s="97" t="n"/>
    </row>
    <row r="913" ht="15.75" customHeight="1" s="163">
      <c r="A913" s="97" t="n"/>
      <c r="B913" s="97" t="n"/>
    </row>
    <row r="914" ht="15.75" customHeight="1" s="163">
      <c r="A914" s="97" t="n"/>
      <c r="B914" s="97" t="n"/>
    </row>
    <row r="915" ht="15.75" customHeight="1" s="163">
      <c r="A915" s="97" t="n"/>
      <c r="B915" s="97" t="n"/>
    </row>
    <row r="916" ht="15.75" customHeight="1" s="163">
      <c r="A916" s="97" t="n"/>
      <c r="B916" s="97" t="n"/>
    </row>
    <row r="917" ht="15.75" customHeight="1" s="163">
      <c r="A917" s="97" t="n"/>
      <c r="B917" s="97" t="n"/>
    </row>
    <row r="918" ht="15.75" customHeight="1" s="163">
      <c r="A918" s="97" t="n"/>
      <c r="B918" s="97" t="n"/>
    </row>
    <row r="919" ht="15.75" customHeight="1" s="163">
      <c r="A919" s="97" t="n"/>
      <c r="B919" s="97" t="n"/>
    </row>
    <row r="920" ht="15.75" customHeight="1" s="163">
      <c r="A920" s="97" t="n"/>
      <c r="B920" s="97" t="n"/>
    </row>
    <row r="921" ht="15.75" customHeight="1" s="163">
      <c r="A921" s="97" t="n"/>
      <c r="B921" s="97" t="n"/>
    </row>
    <row r="922" ht="15.75" customHeight="1" s="163">
      <c r="A922" s="97" t="n"/>
      <c r="B922" s="97" t="n"/>
    </row>
    <row r="923" ht="15.75" customHeight="1" s="163">
      <c r="A923" s="97" t="n"/>
      <c r="B923" s="97" t="n"/>
    </row>
    <row r="924" ht="15.75" customHeight="1" s="163">
      <c r="A924" s="97" t="n"/>
      <c r="B924" s="97" t="n"/>
    </row>
    <row r="925" ht="15.75" customHeight="1" s="163">
      <c r="A925" s="97" t="n"/>
      <c r="B925" s="97" t="n"/>
    </row>
    <row r="926" ht="15.75" customHeight="1" s="163">
      <c r="A926" s="97" t="n"/>
      <c r="B926" s="97" t="n"/>
    </row>
    <row r="927" ht="15.75" customHeight="1" s="163">
      <c r="A927" s="97" t="n"/>
      <c r="B927" s="97" t="n"/>
    </row>
    <row r="928" ht="15.75" customHeight="1" s="163">
      <c r="A928" s="97" t="n"/>
      <c r="B928" s="97" t="n"/>
    </row>
    <row r="929" ht="15.75" customHeight="1" s="163">
      <c r="A929" s="97" t="n"/>
      <c r="B929" s="97" t="n"/>
    </row>
    <row r="930" ht="15.75" customHeight="1" s="163">
      <c r="A930" s="97" t="n"/>
      <c r="B930" s="97" t="n"/>
    </row>
    <row r="931" ht="15.75" customHeight="1" s="163">
      <c r="A931" s="97" t="n"/>
      <c r="B931" s="97" t="n"/>
    </row>
    <row r="932" ht="15.75" customHeight="1" s="163">
      <c r="A932" s="97" t="n"/>
      <c r="B932" s="97" t="n"/>
    </row>
    <row r="933" ht="15.75" customHeight="1" s="163">
      <c r="A933" s="97" t="n"/>
      <c r="B933" s="97" t="n"/>
    </row>
    <row r="934" ht="15.75" customHeight="1" s="163">
      <c r="A934" s="97" t="n"/>
      <c r="B934" s="97" t="n"/>
    </row>
    <row r="935" ht="15.75" customHeight="1" s="163">
      <c r="A935" s="97" t="n"/>
      <c r="B935" s="97" t="n"/>
    </row>
    <row r="936" ht="15.75" customHeight="1" s="163">
      <c r="A936" s="97" t="n"/>
      <c r="B936" s="97" t="n"/>
    </row>
    <row r="937" ht="15.75" customHeight="1" s="163">
      <c r="A937" s="97" t="n"/>
      <c r="B937" s="97" t="n"/>
    </row>
    <row r="938" ht="15.75" customHeight="1" s="163">
      <c r="A938" s="97" t="n"/>
      <c r="B938" s="97" t="n"/>
    </row>
    <row r="939" ht="15.75" customHeight="1" s="163">
      <c r="A939" s="97" t="n"/>
      <c r="B939" s="97" t="n"/>
    </row>
    <row r="940" ht="15.75" customHeight="1" s="163">
      <c r="A940" s="97" t="n"/>
      <c r="B940" s="97" t="n"/>
    </row>
    <row r="941" ht="15.75" customHeight="1" s="163">
      <c r="A941" s="97" t="n"/>
      <c r="B941" s="97" t="n"/>
    </row>
    <row r="942" ht="15.75" customHeight="1" s="163">
      <c r="A942" s="97" t="n"/>
      <c r="B942" s="97" t="n"/>
    </row>
    <row r="943" ht="15.75" customHeight="1" s="163">
      <c r="A943" s="97" t="n"/>
      <c r="B943" s="97" t="n"/>
    </row>
    <row r="944" ht="15.75" customHeight="1" s="163">
      <c r="A944" s="97" t="n"/>
      <c r="B944" s="97" t="n"/>
    </row>
    <row r="945" ht="15.75" customHeight="1" s="163">
      <c r="A945" s="97" t="n"/>
      <c r="B945" s="97" t="n"/>
    </row>
    <row r="946" ht="15.75" customHeight="1" s="163">
      <c r="A946" s="97" t="n"/>
      <c r="B946" s="97" t="n"/>
    </row>
    <row r="947" ht="15.75" customHeight="1" s="163">
      <c r="A947" s="97" t="n"/>
      <c r="B947" s="97" t="n"/>
    </row>
    <row r="948" ht="15.75" customHeight="1" s="163">
      <c r="A948" s="97" t="n"/>
      <c r="B948" s="97" t="n"/>
    </row>
    <row r="949" ht="15.75" customHeight="1" s="163">
      <c r="A949" s="97" t="n"/>
      <c r="B949" s="97" t="n"/>
    </row>
    <row r="950" ht="15.75" customHeight="1" s="163">
      <c r="A950" s="97" t="n"/>
      <c r="B950" s="97" t="n"/>
    </row>
    <row r="951" ht="15.75" customHeight="1" s="163">
      <c r="A951" s="97" t="n"/>
      <c r="B951" s="97" t="n"/>
    </row>
    <row r="952" ht="15.75" customHeight="1" s="163">
      <c r="A952" s="97" t="n"/>
      <c r="B952" s="97" t="n"/>
    </row>
    <row r="953" ht="15.75" customHeight="1" s="163">
      <c r="A953" s="97" t="n"/>
      <c r="B953" s="97" t="n"/>
    </row>
    <row r="954" ht="15.75" customHeight="1" s="163">
      <c r="A954" s="97" t="n"/>
      <c r="B954" s="97" t="n"/>
    </row>
    <row r="955" ht="15.75" customHeight="1" s="163">
      <c r="A955" s="97" t="n"/>
      <c r="B955" s="97" t="n"/>
    </row>
    <row r="956" ht="15.75" customHeight="1" s="163">
      <c r="A956" s="97" t="n"/>
      <c r="B956" s="97" t="n"/>
    </row>
    <row r="957" ht="15.75" customHeight="1" s="163">
      <c r="A957" s="97" t="n"/>
      <c r="B957" s="97" t="n"/>
    </row>
    <row r="958" ht="15.75" customHeight="1" s="163">
      <c r="A958" s="97" t="n"/>
      <c r="B958" s="97" t="n"/>
    </row>
    <row r="959" ht="15.75" customHeight="1" s="163">
      <c r="A959" s="97" t="n"/>
      <c r="B959" s="97" t="n"/>
    </row>
    <row r="960" ht="15.75" customHeight="1" s="163">
      <c r="A960" s="97" t="n"/>
      <c r="B960" s="97" t="n"/>
    </row>
    <row r="961" ht="15.75" customHeight="1" s="163">
      <c r="A961" s="97" t="n"/>
      <c r="B961" s="97" t="n"/>
    </row>
    <row r="962" ht="15.75" customHeight="1" s="163">
      <c r="A962" s="97" t="n"/>
      <c r="B962" s="97" t="n"/>
    </row>
    <row r="963" ht="15.75" customHeight="1" s="163">
      <c r="A963" s="97" t="n"/>
      <c r="B963" s="97" t="n"/>
    </row>
    <row r="964" ht="15.75" customHeight="1" s="163">
      <c r="A964" s="97" t="n"/>
      <c r="B964" s="97" t="n"/>
    </row>
    <row r="965" ht="15.75" customHeight="1" s="163">
      <c r="A965" s="97" t="n"/>
      <c r="B965" s="97" t="n"/>
    </row>
    <row r="966" ht="15.75" customHeight="1" s="163">
      <c r="A966" s="97" t="n"/>
      <c r="B966" s="97" t="n"/>
    </row>
    <row r="967" ht="15.75" customHeight="1" s="163">
      <c r="A967" s="97" t="n"/>
      <c r="B967" s="97" t="n"/>
    </row>
    <row r="968" ht="15.75" customHeight="1" s="163">
      <c r="A968" s="97" t="n"/>
      <c r="B968" s="97" t="n"/>
    </row>
    <row r="969" ht="15.75" customHeight="1" s="163">
      <c r="A969" s="97" t="n"/>
      <c r="B969" s="97" t="n"/>
    </row>
    <row r="970" ht="15.75" customHeight="1" s="163">
      <c r="A970" s="97" t="n"/>
      <c r="B970" s="97" t="n"/>
    </row>
    <row r="971" ht="15.75" customHeight="1" s="163">
      <c r="A971" s="97" t="n"/>
      <c r="B971" s="97" t="n"/>
    </row>
    <row r="972" ht="15.75" customHeight="1" s="163">
      <c r="A972" s="97" t="n"/>
      <c r="B972" s="97" t="n"/>
    </row>
    <row r="973" ht="15.75" customHeight="1" s="163">
      <c r="A973" s="97" t="n"/>
      <c r="B973" s="97" t="n"/>
    </row>
    <row r="974" ht="15.75" customHeight="1" s="163">
      <c r="A974" s="97" t="n"/>
      <c r="B974" s="97" t="n"/>
    </row>
    <row r="975" ht="15.75" customHeight="1" s="163">
      <c r="A975" s="97" t="n"/>
      <c r="B975" s="97" t="n"/>
    </row>
    <row r="976" ht="15.75" customHeight="1" s="163">
      <c r="A976" s="97" t="n"/>
      <c r="B976" s="97" t="n"/>
    </row>
    <row r="977" ht="15.75" customHeight="1" s="163">
      <c r="A977" s="97" t="n"/>
      <c r="B977" s="97" t="n"/>
    </row>
    <row r="978" ht="15.75" customHeight="1" s="163">
      <c r="A978" s="97" t="n"/>
      <c r="B978" s="97" t="n"/>
    </row>
    <row r="979" ht="15.75" customHeight="1" s="163">
      <c r="A979" s="97" t="n"/>
      <c r="B979" s="97" t="n"/>
    </row>
    <row r="980" ht="15.75" customHeight="1" s="163">
      <c r="A980" s="97" t="n"/>
      <c r="B980" s="97" t="n"/>
    </row>
    <row r="981" ht="15.75" customHeight="1" s="163">
      <c r="A981" s="97" t="n"/>
      <c r="B981" s="97" t="n"/>
    </row>
    <row r="982" ht="15.75" customHeight="1" s="163">
      <c r="A982" s="97" t="n"/>
      <c r="B982" s="97" t="n"/>
    </row>
    <row r="983" ht="15.75" customHeight="1" s="163">
      <c r="A983" s="97" t="n"/>
      <c r="B983" s="97" t="n"/>
    </row>
    <row r="984" ht="15.75" customHeight="1" s="163">
      <c r="A984" s="97" t="n"/>
      <c r="B984" s="97" t="n"/>
    </row>
    <row r="985" ht="15.75" customHeight="1" s="163">
      <c r="A985" s="97" t="n"/>
      <c r="B985" s="97" t="n"/>
    </row>
    <row r="986" ht="15.75" customHeight="1" s="163">
      <c r="A986" s="97" t="n"/>
      <c r="B986" s="97" t="n"/>
    </row>
    <row r="987" ht="15.75" customHeight="1" s="163">
      <c r="A987" s="97" t="n"/>
      <c r="B987" s="97" t="n"/>
    </row>
    <row r="988" ht="15.75" customHeight="1" s="163">
      <c r="A988" s="97" t="n"/>
      <c r="B988" s="97" t="n"/>
    </row>
    <row r="989" ht="15.75" customHeight="1" s="163">
      <c r="A989" s="97" t="n"/>
      <c r="B989" s="97" t="n"/>
    </row>
    <row r="990" ht="15.75" customHeight="1" s="163">
      <c r="A990" s="97" t="n"/>
      <c r="B990" s="97" t="n"/>
    </row>
    <row r="991" ht="15.75" customHeight="1" s="163">
      <c r="A991" s="97" t="n"/>
      <c r="B991" s="97" t="n"/>
    </row>
    <row r="992" ht="15.75" customHeight="1" s="163">
      <c r="A992" s="97" t="n"/>
      <c r="B992" s="97" t="n"/>
    </row>
    <row r="993" ht="15.75" customHeight="1" s="163">
      <c r="A993" s="97" t="n"/>
      <c r="B993" s="97" t="n"/>
    </row>
    <row r="994" ht="15.75" customHeight="1" s="163">
      <c r="A994" s="97" t="n"/>
      <c r="B994" s="97" t="n"/>
    </row>
    <row r="995" ht="15.75" customHeight="1" s="163">
      <c r="A995" s="97" t="n"/>
      <c r="B995" s="97" t="n"/>
    </row>
    <row r="996" ht="15.75" customHeight="1" s="163">
      <c r="A996" s="97" t="n"/>
      <c r="B996" s="97" t="n"/>
    </row>
    <row r="997" ht="15.75" customHeight="1" s="163">
      <c r="A997" s="97" t="n"/>
      <c r="B997" s="97" t="n"/>
    </row>
    <row r="998" ht="15.75" customHeight="1" s="163">
      <c r="A998" s="97" t="n"/>
      <c r="B998" s="97" t="n"/>
    </row>
    <row r="999" ht="15.75" customHeight="1" s="163">
      <c r="A999" s="97" t="n"/>
      <c r="B999" s="97" t="n"/>
    </row>
    <row r="1000" ht="15.75" customHeight="1" s="163">
      <c r="A1000" s="97" t="n"/>
      <c r="B1000" s="97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163" min="1" max="1"/>
    <col width="18" customWidth="1" style="163" min="2" max="2"/>
    <col width="12" customWidth="1" style="163" min="3" max="3"/>
    <col width="26" customWidth="1" style="163" min="4" max="4"/>
    <col width="12" customWidth="1" style="163" min="5" max="5"/>
    <col width="10" customWidth="1" style="163" min="6" max="6"/>
    <col width="16" customWidth="1" style="163" min="7" max="7"/>
    <col width="44" customWidth="1" style="163" min="8" max="8"/>
    <col width="16" customWidth="1" style="163" min="9" max="9"/>
    <col width="12" customWidth="1" style="163" min="10" max="10"/>
    <col width="14" customWidth="1" style="163" min="11" max="14"/>
    <col width="8.630000000000001" customWidth="1" style="163" min="15" max="26"/>
  </cols>
  <sheetData>
    <row r="1">
      <c r="A1" s="98" t="inlineStr">
        <is>
          <t>№ участка</t>
        </is>
      </c>
      <c r="B1" s="98" t="inlineStr">
        <is>
          <t>Улица</t>
        </is>
      </c>
      <c r="C1" s="98" t="inlineStr">
        <is>
          <t>Площадь м²</t>
        </is>
      </c>
      <c r="D1" s="98" t="inlineStr">
        <is>
          <t>Вид</t>
        </is>
      </c>
      <c r="E1" s="98" t="inlineStr">
        <is>
          <t>Статус</t>
        </is>
      </c>
      <c r="F1" s="98" t="inlineStr">
        <is>
          <t>Угловой</t>
        </is>
      </c>
      <c r="G1" s="98" t="inlineStr">
        <is>
          <t>Зона домов</t>
        </is>
      </c>
      <c r="H1" s="98" t="inlineStr">
        <is>
          <t>Допустимые дома</t>
        </is>
      </c>
      <c r="I1" s="98" t="inlineStr">
        <is>
          <t>Проект (каталог)</t>
        </is>
      </c>
      <c r="J1" s="98" t="inlineStr">
        <is>
          <t>₽/м² земли</t>
        </is>
      </c>
      <c r="K1" s="98" t="inlineStr">
        <is>
          <t>Цена земли</t>
        </is>
      </c>
      <c r="L1" s="98" t="inlineStr">
        <is>
          <t>Надбавка к дому</t>
        </is>
      </c>
      <c r="M1" s="103" t="inlineStr">
        <is>
          <t>Дом под ключ</t>
        </is>
      </c>
      <c r="N1" s="103" t="inlineStr">
        <is>
          <t>ИТОГО</t>
        </is>
      </c>
    </row>
    <row r="2">
      <c r="A2" s="99" t="n">
        <v>1454</v>
      </c>
      <c r="B2" s="99" t="inlineStr">
        <is>
          <t>Цветочная</t>
        </is>
      </c>
      <c r="C2" s="99" t="n">
        <v>542</v>
      </c>
      <c r="D2" s="99" t="n"/>
      <c r="E2" s="99" t="inlineStr">
        <is>
          <t>Продано</t>
        </is>
      </c>
      <c r="F2" s="99" t="inlineStr">
        <is>
          <t>Да</t>
        </is>
      </c>
      <c r="G2" s="99" t="inlineStr">
        <is>
          <t>—</t>
        </is>
      </c>
      <c r="H2" s="104" t="inlineStr">
        <is>
          <t>—</t>
        </is>
      </c>
      <c r="I2" s="99" t="n"/>
      <c r="J2" s="100">
        <f t="array" ref="J2">IF(I2&lt;&gt;"",ROUND(INDEX('Каталог'!$F:$F,MATCH(I2,'Каталог'!$A:$A,0))/'Прайс'!$B$4,0),IFERROR(VLOOKUP(D2,'Прайс'!$A$7:$B$9,2,FALSE),'Прайс'!$B$2))</f>
        <v/>
      </c>
      <c r="K2" s="100">
        <f>IF(AND(C2&gt;0,J2&gt;0,E2&lt;&gt;"Продано"),ROUND(C2*J2,0),"")</f>
        <v/>
      </c>
      <c r="L2" s="100">
        <f>IF(AND(F2="Да",C2&gt;0,E2&lt;&gt;"Продано"),ROUND(C2*'Прайс'!$B$3,0),0)</f>
        <v/>
      </c>
      <c r="M2" s="100">
        <f t="array" ref="M2">IF(I2&lt;&gt;"",INDEX('Каталог'!$F:$F,MATCH(I2,'Каталог'!$A:$A,0)),"")</f>
        <v/>
      </c>
      <c r="N2" s="100">
        <f>IF(AND(E2&lt;&gt;"Продано",OR(K2&gt;0,M2&gt;0)),IFERROR(K2,0)+IFERROR(M2,0)+IFERROR(L2,0),"")</f>
        <v/>
      </c>
    </row>
    <row r="3">
      <c r="A3" s="99" t="n">
        <v>1457</v>
      </c>
      <c r="B3" s="99" t="inlineStr">
        <is>
          <t>Цветочная</t>
        </is>
      </c>
      <c r="C3" s="99" t="n"/>
      <c r="D3" s="99" t="n"/>
      <c r="E3" s="99" t="inlineStr">
        <is>
          <t>Продано</t>
        </is>
      </c>
      <c r="F3" s="99" t="inlineStr">
        <is>
          <t>Нет</t>
        </is>
      </c>
      <c r="G3" s="99" t="inlineStr">
        <is>
          <t>—</t>
        </is>
      </c>
      <c r="H3" s="104" t="inlineStr">
        <is>
          <t>—</t>
        </is>
      </c>
      <c r="I3" s="99" t="n"/>
      <c r="J3" s="100">
        <f t="array" ref="J3">IF(I3&lt;&gt;"",ROUND(INDEX('Каталог'!$F:$F,MATCH(I3,'Каталог'!$A:$A,0))/'Прайс'!$B$4,0),IFERROR(VLOOKUP(D3,'Прайс'!$A$7:$B$9,2,FALSE),'Прайс'!$B$2))</f>
        <v/>
      </c>
      <c r="K3" s="100">
        <f>IF(AND(C3&gt;0,J3&gt;0,E3&lt;&gt;"Продано"),ROUND(C3*J3,0),"")</f>
        <v/>
      </c>
      <c r="L3" s="100">
        <f>IF(AND(F3="Да",C3&gt;0,E3&lt;&gt;"Продано"),ROUND(C3*'Прайс'!$B$3,0),0)</f>
        <v/>
      </c>
      <c r="M3" s="100">
        <f t="array" ref="M3">IF(I3&lt;&gt;"",INDEX('Каталог'!$F:$F,MATCH(I3,'Каталог'!$A:$A,0)),"")</f>
        <v/>
      </c>
      <c r="N3" s="100">
        <f>IF(AND(E3&lt;&gt;"Продано",OR(K3&gt;0,M3&gt;0)),IFERROR(K3,0)+IFERROR(M3,0)+IFERROR(L3,0),"")</f>
        <v/>
      </c>
    </row>
    <row r="4">
      <c r="A4" s="99" t="n">
        <v>1465</v>
      </c>
      <c r="B4" s="99" t="inlineStr">
        <is>
          <t>Цветочная</t>
        </is>
      </c>
      <c r="C4" s="99" t="n"/>
      <c r="D4" s="99" t="n"/>
      <c r="E4" s="99" t="inlineStr">
        <is>
          <t>Продано</t>
        </is>
      </c>
      <c r="F4" s="99" t="inlineStr">
        <is>
          <t>Нет</t>
        </is>
      </c>
      <c r="G4" s="99" t="inlineStr">
        <is>
          <t>—</t>
        </is>
      </c>
      <c r="H4" s="104" t="inlineStr">
        <is>
          <t>—</t>
        </is>
      </c>
      <c r="I4" s="99" t="n"/>
      <c r="J4" s="100">
        <f t="array" ref="J4">IF(I4&lt;&gt;"",ROUND(INDEX('Каталог'!$F:$F,MATCH(I4,'Каталог'!$A:$A,0))/'Прайс'!$B$4,0),IFERROR(VLOOKUP(D4,'Прайс'!$A$7:$B$9,2,FALSE),'Прайс'!$B$2))</f>
        <v/>
      </c>
      <c r="K4" s="100">
        <f>IF(AND(C4&gt;0,J4&gt;0,E4&lt;&gt;"Продано"),ROUND(C4*J4,0),"")</f>
        <v/>
      </c>
      <c r="L4" s="100">
        <f>IF(AND(F4="Да",C4&gt;0,E4&lt;&gt;"Продано"),ROUND(C4*'Прайс'!$B$3,0),0)</f>
        <v/>
      </c>
      <c r="M4" s="100">
        <f t="array" ref="M4">IF(I4&lt;&gt;"",INDEX('Каталог'!$F:$F,MATCH(I4,'Каталог'!$A:$A,0)),"")</f>
        <v/>
      </c>
      <c r="N4" s="100">
        <f>IF(AND(E4&lt;&gt;"Продано",OR(K4&gt;0,M4&gt;0)),IFERROR(K4,0)+IFERROR(M4,0)+IFERROR(L4,0),"")</f>
        <v/>
      </c>
    </row>
    <row r="5">
      <c r="A5" s="99" t="n">
        <v>1466</v>
      </c>
      <c r="B5" s="99" t="inlineStr">
        <is>
          <t>Цветочная</t>
        </is>
      </c>
      <c r="C5" s="99" t="n"/>
      <c r="D5" s="99" t="n"/>
      <c r="E5" s="99" t="inlineStr">
        <is>
          <t>Продано</t>
        </is>
      </c>
      <c r="F5" s="99" t="inlineStr">
        <is>
          <t>Нет</t>
        </is>
      </c>
      <c r="G5" s="99" t="inlineStr">
        <is>
          <t>—</t>
        </is>
      </c>
      <c r="H5" s="104" t="inlineStr">
        <is>
          <t>—</t>
        </is>
      </c>
      <c r="I5" s="99" t="n"/>
      <c r="J5" s="100">
        <f t="array" ref="J5">IF(I5&lt;&gt;"",ROUND(INDEX('Каталог'!$F:$F,MATCH(I5,'Каталог'!$A:$A,0))/'Прайс'!$B$4,0),IFERROR(VLOOKUP(D5,'Прайс'!$A$7:$B$9,2,FALSE),'Прайс'!$B$2))</f>
        <v/>
      </c>
      <c r="K5" s="100">
        <f>IF(AND(C5&gt;0,J5&gt;0,E5&lt;&gt;"Продано"),ROUND(C5*J5,0),"")</f>
        <v/>
      </c>
      <c r="L5" s="100">
        <f>IF(AND(F5="Да",C5&gt;0,E5&lt;&gt;"Продано"),ROUND(C5*'Прайс'!$B$3,0),0)</f>
        <v/>
      </c>
      <c r="M5" s="100">
        <f t="array" ref="M5">IF(I5&lt;&gt;"",INDEX('Каталог'!$F:$F,MATCH(I5,'Каталог'!$A:$A,0)),"")</f>
        <v/>
      </c>
      <c r="N5" s="100">
        <f>IF(AND(E5&lt;&gt;"Продано",OR(K5&gt;0,M5&gt;0)),IFERROR(K5,0)+IFERROR(M5,0)+IFERROR(L5,0),"")</f>
        <v/>
      </c>
    </row>
    <row r="6">
      <c r="A6" s="99" t="n">
        <v>1467</v>
      </c>
      <c r="B6" s="99" t="inlineStr">
        <is>
          <t>Цветочная</t>
        </is>
      </c>
      <c r="C6" s="99" t="n"/>
      <c r="D6" s="99" t="n"/>
      <c r="E6" s="99" t="inlineStr">
        <is>
          <t>Продано</t>
        </is>
      </c>
      <c r="F6" s="99" t="inlineStr">
        <is>
          <t>Нет</t>
        </is>
      </c>
      <c r="G6" s="99" t="inlineStr">
        <is>
          <t>—</t>
        </is>
      </c>
      <c r="H6" s="104" t="inlineStr">
        <is>
          <t>—</t>
        </is>
      </c>
      <c r="I6" s="99" t="n"/>
      <c r="J6" s="100">
        <f t="array" ref="J6">IF(I6&lt;&gt;"",ROUND(INDEX('Каталог'!$F:$F,MATCH(I6,'Каталог'!$A:$A,0))/'Прайс'!$B$4,0),IFERROR(VLOOKUP(D6,'Прайс'!$A$7:$B$9,2,FALSE),'Прайс'!$B$2))</f>
        <v/>
      </c>
      <c r="K6" s="100">
        <f>IF(AND(C6&gt;0,J6&gt;0,E6&lt;&gt;"Продано"),ROUND(C6*J6,0),"")</f>
        <v/>
      </c>
      <c r="L6" s="100">
        <f>IF(AND(F6="Да",C6&gt;0,E6&lt;&gt;"Продано"),ROUND(C6*'Прайс'!$B$3,0),0)</f>
        <v/>
      </c>
      <c r="M6" s="100">
        <f t="array" ref="M6">IF(I6&lt;&gt;"",INDEX('Каталог'!$F:$F,MATCH(I6,'Каталог'!$A:$A,0)),"")</f>
        <v/>
      </c>
      <c r="N6" s="100">
        <f>IF(AND(E6&lt;&gt;"Продано",OR(K6&gt;0,M6&gt;0)),IFERROR(K6,0)+IFERROR(M6,0)+IFERROR(L6,0),"")</f>
        <v/>
      </c>
    </row>
    <row r="7">
      <c r="A7" s="99" t="n">
        <v>1468</v>
      </c>
      <c r="B7" s="99" t="inlineStr">
        <is>
          <t>Цветочная</t>
        </is>
      </c>
      <c r="C7" s="99" t="n"/>
      <c r="D7" s="99" t="n"/>
      <c r="E7" s="99" t="inlineStr">
        <is>
          <t>Продано</t>
        </is>
      </c>
      <c r="F7" s="99" t="inlineStr">
        <is>
          <t>Нет</t>
        </is>
      </c>
      <c r="G7" s="99" t="inlineStr">
        <is>
          <t>—</t>
        </is>
      </c>
      <c r="H7" s="104" t="inlineStr">
        <is>
          <t>—</t>
        </is>
      </c>
      <c r="I7" s="99" t="n"/>
      <c r="J7" s="100">
        <f t="array" ref="J7">IF(I7&lt;&gt;"",ROUND(INDEX('Каталог'!$F:$F,MATCH(I7,'Каталог'!$A:$A,0))/'Прайс'!$B$4,0),IFERROR(VLOOKUP(D7,'Прайс'!$A$7:$B$9,2,FALSE),'Прайс'!$B$2))</f>
        <v/>
      </c>
      <c r="K7" s="100">
        <f>IF(AND(C7&gt;0,J7&gt;0,E7&lt;&gt;"Продано"),ROUND(C7*J7,0),"")</f>
        <v/>
      </c>
      <c r="L7" s="100">
        <f>IF(AND(F7="Да",C7&gt;0,E7&lt;&gt;"Продано"),ROUND(C7*'Прайс'!$B$3,0),0)</f>
        <v/>
      </c>
      <c r="M7" s="100">
        <f t="array" ref="M7">IF(I7&lt;&gt;"",INDEX('Каталог'!$F:$F,MATCH(I7,'Каталог'!$A:$A,0)),"")</f>
        <v/>
      </c>
      <c r="N7" s="100">
        <f>IF(AND(E7&lt;&gt;"Продано",OR(K7&gt;0,M7&gt;0)),IFERROR(K7,0)+IFERROR(M7,0)+IFERROR(L7,0),"")</f>
        <v/>
      </c>
    </row>
    <row r="8">
      <c r="A8" s="99" t="n">
        <v>1519</v>
      </c>
      <c r="B8" s="99" t="inlineStr">
        <is>
          <t>Корабельная</t>
        </is>
      </c>
      <c r="C8" s="99" t="n">
        <v>563</v>
      </c>
      <c r="D8" s="99" t="n"/>
      <c r="E8" s="99" t="inlineStr">
        <is>
          <t>Продано</t>
        </is>
      </c>
      <c r="F8" s="99" t="inlineStr">
        <is>
          <t>Да</t>
        </is>
      </c>
      <c r="G8" s="99" t="inlineStr">
        <is>
          <t>—</t>
        </is>
      </c>
      <c r="H8" s="104" t="inlineStr">
        <is>
          <t>—</t>
        </is>
      </c>
      <c r="I8" s="99" t="n"/>
      <c r="J8" s="100">
        <f t="array" ref="J8">IF(I8&lt;&gt;"",ROUND(INDEX('Каталог'!$F:$F,MATCH(I8,'Каталог'!$A:$A,0))/'Прайс'!$B$4,0),IFERROR(VLOOKUP(D8,'Прайс'!$A$7:$B$9,2,FALSE),'Прайс'!$B$2))</f>
        <v/>
      </c>
      <c r="K8" s="100">
        <f>IF(AND(C8&gt;0,J8&gt;0,E8&lt;&gt;"Продано"),ROUND(C8*J8,0),"")</f>
        <v/>
      </c>
      <c r="L8" s="100">
        <f>IF(AND(F8="Да",C8&gt;0,E8&lt;&gt;"Продано"),ROUND(C8*'Прайс'!$B$3,0),0)</f>
        <v/>
      </c>
      <c r="M8" s="100">
        <f t="array" ref="M8">IF(I8&lt;&gt;"",INDEX('Каталог'!$F:$F,MATCH(I8,'Каталог'!$A:$A,0)),"")</f>
        <v/>
      </c>
      <c r="N8" s="100">
        <f>IF(AND(E8&lt;&gt;"Продано",OR(K8&gt;0,M8&gt;0)),IFERROR(K8,0)+IFERROR(M8,0)+IFERROR(L8,0),"")</f>
        <v/>
      </c>
    </row>
    <row r="9">
      <c r="A9" s="99" t="n">
        <v>1520</v>
      </c>
      <c r="B9" s="99" t="inlineStr">
        <is>
          <t>Корабельная</t>
        </is>
      </c>
      <c r="C9" s="99" t="n">
        <v>561</v>
      </c>
      <c r="D9" s="99" t="n"/>
      <c r="E9" s="99" t="inlineStr">
        <is>
          <t>Продано</t>
        </is>
      </c>
      <c r="F9" s="99" t="inlineStr">
        <is>
          <t>Да</t>
        </is>
      </c>
      <c r="G9" s="99" t="inlineStr">
        <is>
          <t>—</t>
        </is>
      </c>
      <c r="H9" s="104" t="inlineStr">
        <is>
          <t>—</t>
        </is>
      </c>
      <c r="I9" s="99" t="n"/>
      <c r="J9" s="100">
        <f t="array" ref="J9">IF(I9&lt;&gt;"",ROUND(INDEX('Каталог'!$F:$F,MATCH(I9,'Каталог'!$A:$A,0))/'Прайс'!$B$4,0),IFERROR(VLOOKUP(D9,'Прайс'!$A$7:$B$9,2,FALSE),'Прайс'!$B$2))</f>
        <v/>
      </c>
      <c r="K9" s="100">
        <f>IF(AND(C9&gt;0,J9&gt;0,E9&lt;&gt;"Продано"),ROUND(C9*J9,0),"")</f>
        <v/>
      </c>
      <c r="L9" s="100">
        <f>IF(AND(F9="Да",C9&gt;0,E9&lt;&gt;"Продано"),ROUND(C9*'Прайс'!$B$3,0),0)</f>
        <v/>
      </c>
      <c r="M9" s="100">
        <f t="array" ref="M9">IF(I9&lt;&gt;"",INDEX('Каталог'!$F:$F,MATCH(I9,'Каталог'!$A:$A,0)),"")</f>
        <v/>
      </c>
      <c r="N9" s="100">
        <f>IF(AND(E9&lt;&gt;"Продано",OR(K9&gt;0,M9&gt;0)),IFERROR(K9,0)+IFERROR(M9,0)+IFERROR(L9,0),"")</f>
        <v/>
      </c>
    </row>
    <row r="10">
      <c r="A10" s="99" t="n">
        <v>1538</v>
      </c>
      <c r="B10" s="99" t="inlineStr">
        <is>
          <t>Айвазовского</t>
        </is>
      </c>
      <c r="C10" s="99" t="n">
        <v>700</v>
      </c>
      <c r="D10" s="99" t="inlineStr">
        <is>
          <t>Виноградники / лиман / вулканы</t>
        </is>
      </c>
      <c r="E10" s="99" t="inlineStr">
        <is>
          <t>Свободно</t>
        </is>
      </c>
      <c r="F10" s="99" t="inlineStr">
        <is>
          <t>Да</t>
        </is>
      </c>
      <c r="G10" s="99" t="inlineStr">
        <is>
          <t>1 ф ВЛВ / 2 ф ВЛВ</t>
        </is>
      </c>
      <c r="H10" s="104" t="inlineStr">
        <is>
          <t>1 эт.: Костеро, Линия 40, Линия 72, Логос, Логос мини, Арбор, Баня | 2 эт.: Палаццо, Эдем, Вилла Маре</t>
        </is>
      </c>
      <c r="I10" s="99" t="n"/>
      <c r="J10" s="100">
        <f t="array" ref="J10">IF(I10&lt;&gt;"",ROUND(INDEX('Каталог'!$F:$F,MATCH(I10,'Каталог'!$A:$A,0))/'Прайс'!$B$4,0),IFERROR(VLOOKUP(D10,'Прайс'!$A$7:$B$9,2,FALSE),'Прайс'!$B$2))</f>
        <v/>
      </c>
      <c r="K10" s="100">
        <f>IF(AND(C10&gt;0,J10&gt;0,E10&lt;&gt;"Продано"),ROUND(C10*J10,0),"")</f>
        <v/>
      </c>
      <c r="L10" s="100">
        <f>IF(AND(F10="Да",C10&gt;0,E10&lt;&gt;"Продано"),ROUND(C10*'Прайс'!$B$3,0),0)</f>
        <v/>
      </c>
      <c r="M10" s="100">
        <f t="array" ref="M10">IF(I10&lt;&gt;"",INDEX('Каталог'!$F:$F,MATCH(I10,'Каталог'!$A:$A,0)),"")</f>
        <v/>
      </c>
      <c r="N10" s="100">
        <f>IF(AND(E10&lt;&gt;"Продано",OR(K10&gt;0,M10&gt;0)),IFERROR(K10,0)+IFERROR(M10,0)+IFERROR(L10,0),"")</f>
        <v/>
      </c>
    </row>
    <row r="11">
      <c r="A11" s="99" t="n">
        <v>1539</v>
      </c>
      <c r="B11" s="99" t="inlineStr">
        <is>
          <t>Айвазовского</t>
        </is>
      </c>
      <c r="C11" s="99" t="n">
        <v>500</v>
      </c>
      <c r="D11" s="99" t="inlineStr">
        <is>
          <t>Вид на море</t>
        </is>
      </c>
      <c r="E11" s="99" t="inlineStr">
        <is>
          <t>Свободно</t>
        </is>
      </c>
      <c r="F11" s="99" t="inlineStr">
        <is>
          <t>Нет</t>
        </is>
      </c>
      <c r="G11" s="99" t="inlineStr">
        <is>
          <t>1 ф М / 2 ф М</t>
        </is>
      </c>
      <c r="H11" s="104" t="inlineStr">
        <is>
          <t>1 эт.: Костеро, Линия 40, Линия 72, Логос, Логос мини, Арбор, Баня | 2 эт.: Палаццо, Эдем, Вилла Маре</t>
        </is>
      </c>
      <c r="I11" s="99" t="n"/>
      <c r="J11" s="100">
        <f t="array" ref="J11">IF(I11&lt;&gt;"",ROUND(INDEX('Каталог'!$F:$F,MATCH(I11,'Каталог'!$A:$A,0))/'Прайс'!$B$4,0),IFERROR(VLOOKUP(D11,'Прайс'!$A$7:$B$9,2,FALSE),'Прайс'!$B$2))</f>
        <v/>
      </c>
      <c r="K11" s="100">
        <f>IF(AND(C11&gt;0,J11&gt;0,E11&lt;&gt;"Продано"),ROUND(C11*J11,0),"")</f>
        <v/>
      </c>
      <c r="L11" s="100">
        <f>IF(AND(F11="Да",C11&gt;0,E11&lt;&gt;"Продано"),ROUND(C11*'Прайс'!$B$3,0),0)</f>
        <v/>
      </c>
      <c r="M11" s="100">
        <f t="array" ref="M11">IF(I11&lt;&gt;"",INDEX('Каталог'!$F:$F,MATCH(I11,'Каталог'!$A:$A,0)),"")</f>
        <v/>
      </c>
      <c r="N11" s="100">
        <f>IF(AND(E11&lt;&gt;"Продано",OR(K11&gt;0,M11&gt;0)),IFERROR(K11,0)+IFERROR(M11,0)+IFERROR(L11,0),"")</f>
        <v/>
      </c>
    </row>
    <row r="12">
      <c r="A12" s="99" t="n">
        <v>1540</v>
      </c>
      <c r="B12" s="99" t="inlineStr">
        <is>
          <t>Айвазовского</t>
        </is>
      </c>
      <c r="C12" s="99" t="n">
        <v>500</v>
      </c>
      <c r="D12" s="99" t="inlineStr">
        <is>
          <t>Вид на море</t>
        </is>
      </c>
      <c r="E12" s="99" t="inlineStr">
        <is>
          <t>Свободно</t>
        </is>
      </c>
      <c r="F12" s="99" t="inlineStr">
        <is>
          <t>Нет</t>
        </is>
      </c>
      <c r="G12" s="99" t="inlineStr">
        <is>
          <t>1 ф М / 2 ф М</t>
        </is>
      </c>
      <c r="H12" s="104" t="inlineStr">
        <is>
          <t>1 эт.: Костеро, Линия 40, Линия 72, Логос, Логос мини, Арбор, Баня | 2 эт.: Палаццо, Эдем, Вилла Маре</t>
        </is>
      </c>
      <c r="I12" s="99" t="n"/>
      <c r="J12" s="100">
        <f t="array" ref="J12">IF(I12&lt;&gt;"",ROUND(INDEX('Каталог'!$F:$F,MATCH(I12,'Каталог'!$A:$A,0))/'Прайс'!$B$4,0),IFERROR(VLOOKUP(D12,'Прайс'!$A$7:$B$9,2,FALSE),'Прайс'!$B$2))</f>
        <v/>
      </c>
      <c r="K12" s="100">
        <f>IF(AND(C12&gt;0,J12&gt;0,E12&lt;&gt;"Продано"),ROUND(C12*J12,0),"")</f>
        <v/>
      </c>
      <c r="L12" s="100">
        <f>IF(AND(F12="Да",C12&gt;0,E12&lt;&gt;"Продано"),ROUND(C12*'Прайс'!$B$3,0),0)</f>
        <v/>
      </c>
      <c r="M12" s="100">
        <f t="array" ref="M12">IF(I12&lt;&gt;"",INDEX('Каталог'!$F:$F,MATCH(I12,'Каталог'!$A:$A,0)),"")</f>
        <v/>
      </c>
      <c r="N12" s="100">
        <f>IF(AND(E12&lt;&gt;"Продано",OR(K12&gt;0,M12&gt;0)),IFERROR(K12,0)+IFERROR(M12,0)+IFERROR(L12,0),"")</f>
        <v/>
      </c>
    </row>
    <row r="13">
      <c r="A13" s="99" t="n">
        <v>1541</v>
      </c>
      <c r="B13" s="99" t="inlineStr">
        <is>
          <t>Айвазовского</t>
        </is>
      </c>
      <c r="C13" s="99" t="n">
        <v>500</v>
      </c>
      <c r="D13" s="99" t="inlineStr">
        <is>
          <t>Вид на море</t>
        </is>
      </c>
      <c r="E13" s="99" t="inlineStr">
        <is>
          <t>Свободно</t>
        </is>
      </c>
      <c r="F13" s="99" t="inlineStr">
        <is>
          <t>Нет</t>
        </is>
      </c>
      <c r="G13" s="99" t="inlineStr">
        <is>
          <t>1 ф М / 2 ф М</t>
        </is>
      </c>
      <c r="H13" s="104" t="inlineStr">
        <is>
          <t>1 эт.: Костеро, Линия 40, Линия 72, Логос, Логос мини, Арбор, Баня | 2 эт.: Палаццо, Эдем, Вилла Маре</t>
        </is>
      </c>
      <c r="I13" s="99" t="n"/>
      <c r="J13" s="100">
        <f t="array" ref="J13">IF(I13&lt;&gt;"",ROUND(INDEX('Каталог'!$F:$F,MATCH(I13,'Каталог'!$A:$A,0))/'Прайс'!$B$4,0),IFERROR(VLOOKUP(D13,'Прайс'!$A$7:$B$9,2,FALSE),'Прайс'!$B$2))</f>
        <v/>
      </c>
      <c r="K13" s="100">
        <f>IF(AND(C13&gt;0,J13&gt;0,E13&lt;&gt;"Продано"),ROUND(C13*J13,0),"")</f>
        <v/>
      </c>
      <c r="L13" s="100">
        <f>IF(AND(F13="Да",C13&gt;0,E13&lt;&gt;"Продано"),ROUND(C13*'Прайс'!$B$3,0),0)</f>
        <v/>
      </c>
      <c r="M13" s="100">
        <f t="array" ref="M13">IF(I13&lt;&gt;"",INDEX('Каталог'!$F:$F,MATCH(I13,'Каталог'!$A:$A,0)),"")</f>
        <v/>
      </c>
      <c r="N13" s="100">
        <f>IF(AND(E13&lt;&gt;"Продано",OR(K13&gt;0,M13&gt;0)),IFERROR(K13,0)+IFERROR(M13,0)+IFERROR(L13,0),"")</f>
        <v/>
      </c>
    </row>
    <row r="14">
      <c r="A14" s="99" t="n">
        <v>1542</v>
      </c>
      <c r="B14" s="99" t="inlineStr">
        <is>
          <t>Айвазовского</t>
        </is>
      </c>
      <c r="C14" s="99" t="n">
        <v>500</v>
      </c>
      <c r="D14" s="99" t="inlineStr">
        <is>
          <t>Вид на море</t>
        </is>
      </c>
      <c r="E14" s="99" t="inlineStr">
        <is>
          <t>Свободно</t>
        </is>
      </c>
      <c r="F14" s="99" t="inlineStr">
        <is>
          <t>Нет</t>
        </is>
      </c>
      <c r="G14" s="99" t="inlineStr">
        <is>
          <t>1 ф М / 2 ф М</t>
        </is>
      </c>
      <c r="H14" s="104" t="inlineStr">
        <is>
          <t>1 эт.: Костеро, Линия 40, Линия 72, Логос, Логос мини, Арбор, Баня | 2 эт.: Палаццо, Эдем, Вилла Маре</t>
        </is>
      </c>
      <c r="I14" s="99" t="n"/>
      <c r="J14" s="100">
        <f t="array" ref="J14">IF(I14&lt;&gt;"",ROUND(INDEX('Каталог'!$F:$F,MATCH(I14,'Каталог'!$A:$A,0))/'Прайс'!$B$4,0),IFERROR(VLOOKUP(D14,'Прайс'!$A$7:$B$9,2,FALSE),'Прайс'!$B$2))</f>
        <v/>
      </c>
      <c r="K14" s="100">
        <f>IF(AND(C14&gt;0,J14&gt;0,E14&lt;&gt;"Продано"),ROUND(C14*J14,0),"")</f>
        <v/>
      </c>
      <c r="L14" s="100">
        <f>IF(AND(F14="Да",C14&gt;0,E14&lt;&gt;"Продано"),ROUND(C14*'Прайс'!$B$3,0),0)</f>
        <v/>
      </c>
      <c r="M14" s="100">
        <f t="array" ref="M14">IF(I14&lt;&gt;"",INDEX('Каталог'!$F:$F,MATCH(I14,'Каталог'!$A:$A,0)),"")</f>
        <v/>
      </c>
      <c r="N14" s="100">
        <f>IF(AND(E14&lt;&gt;"Продано",OR(K14&gt;0,M14&gt;0)),IFERROR(K14,0)+IFERROR(M14,0)+IFERROR(L14,0),"")</f>
        <v/>
      </c>
    </row>
    <row r="15">
      <c r="A15" s="99" t="n">
        <v>1543</v>
      </c>
      <c r="B15" s="99" t="inlineStr">
        <is>
          <t>Айвазовского</t>
        </is>
      </c>
      <c r="C15" s="99" t="n">
        <v>500</v>
      </c>
      <c r="D15" s="99" t="inlineStr">
        <is>
          <t>Вид на море</t>
        </is>
      </c>
      <c r="E15" s="99" t="inlineStr">
        <is>
          <t>Свободно</t>
        </is>
      </c>
      <c r="F15" s="99" t="inlineStr">
        <is>
          <t>Нет</t>
        </is>
      </c>
      <c r="G15" s="99" t="inlineStr">
        <is>
          <t>1 ф М / 2 ф М</t>
        </is>
      </c>
      <c r="H15" s="104" t="inlineStr">
        <is>
          <t>1 эт.: Костеро, Линия 40, Линия 72, Логос, Логос мини, Арбор, Баня | 2 эт.: Палаццо, Эдем, Вилла Маре</t>
        </is>
      </c>
      <c r="I15" s="99" t="n"/>
      <c r="J15" s="100">
        <f t="array" ref="J15">IF(I15&lt;&gt;"",ROUND(INDEX('Каталог'!$F:$F,MATCH(I15,'Каталог'!$A:$A,0))/'Прайс'!$B$4,0),IFERROR(VLOOKUP(D15,'Прайс'!$A$7:$B$9,2,FALSE),'Прайс'!$B$2))</f>
        <v/>
      </c>
      <c r="K15" s="100">
        <f>IF(AND(C15&gt;0,J15&gt;0,E15&lt;&gt;"Продано"),ROUND(C15*J15,0),"")</f>
        <v/>
      </c>
      <c r="L15" s="100">
        <f>IF(AND(F15="Да",C15&gt;0,E15&lt;&gt;"Продано"),ROUND(C15*'Прайс'!$B$3,0),0)</f>
        <v/>
      </c>
      <c r="M15" s="100">
        <f t="array" ref="M15">IF(I15&lt;&gt;"",INDEX('Каталог'!$F:$F,MATCH(I15,'Каталог'!$A:$A,0)),"")</f>
        <v/>
      </c>
      <c r="N15" s="100">
        <f>IF(AND(E15&lt;&gt;"Продано",OR(K15&gt;0,M15&gt;0)),IFERROR(K15,0)+IFERROR(M15,0)+IFERROR(L15,0),"")</f>
        <v/>
      </c>
    </row>
    <row r="16">
      <c r="A16" s="99" t="n">
        <v>1544</v>
      </c>
      <c r="B16" s="99" t="inlineStr">
        <is>
          <t>Айвазовского</t>
        </is>
      </c>
      <c r="C16" s="99" t="n">
        <v>500</v>
      </c>
      <c r="D16" s="99" t="inlineStr">
        <is>
          <t>Вид на море</t>
        </is>
      </c>
      <c r="E16" s="99" t="inlineStr">
        <is>
          <t>Свободно</t>
        </is>
      </c>
      <c r="F16" s="99" t="inlineStr">
        <is>
          <t>Нет</t>
        </is>
      </c>
      <c r="G16" s="99" t="inlineStr">
        <is>
          <t>1 ф М / 2 ф М</t>
        </is>
      </c>
      <c r="H16" s="104" t="inlineStr">
        <is>
          <t>1 эт.: Костеро, Линия 40, Линия 72, Логос, Логос мини, Арбор, Баня | 2 эт.: Палаццо, Эдем, Вилла Маре</t>
        </is>
      </c>
      <c r="I16" s="99" t="n"/>
      <c r="J16" s="100">
        <f t="array" ref="J16">IF(I16&lt;&gt;"",ROUND(INDEX('Каталог'!$F:$F,MATCH(I16,'Каталог'!$A:$A,0))/'Прайс'!$B$4,0),IFERROR(VLOOKUP(D16,'Прайс'!$A$7:$B$9,2,FALSE),'Прайс'!$B$2))</f>
        <v/>
      </c>
      <c r="K16" s="100">
        <f>IF(AND(C16&gt;0,J16&gt;0,E16&lt;&gt;"Продано"),ROUND(C16*J16,0),"")</f>
        <v/>
      </c>
      <c r="L16" s="100">
        <f>IF(AND(F16="Да",C16&gt;0,E16&lt;&gt;"Продано"),ROUND(C16*'Прайс'!$B$3,0),0)</f>
        <v/>
      </c>
      <c r="M16" s="100">
        <f t="array" ref="M16">IF(I16&lt;&gt;"",INDEX('Каталог'!$F:$F,MATCH(I16,'Каталог'!$A:$A,0)),"")</f>
        <v/>
      </c>
      <c r="N16" s="100">
        <f>IF(AND(E16&lt;&gt;"Продано",OR(K16&gt;0,M16&gt;0)),IFERROR(K16,0)+IFERROR(M16,0)+IFERROR(L16,0),"")</f>
        <v/>
      </c>
    </row>
    <row r="17">
      <c r="A17" s="99" t="n">
        <v>1545</v>
      </c>
      <c r="B17" s="99" t="inlineStr">
        <is>
          <t>Айвазовского</t>
        </is>
      </c>
      <c r="C17" s="99" t="n">
        <v>700</v>
      </c>
      <c r="D17" s="99" t="inlineStr">
        <is>
          <t>Вид на море</t>
        </is>
      </c>
      <c r="E17" s="99" t="inlineStr">
        <is>
          <t>Свободно</t>
        </is>
      </c>
      <c r="F17" s="99" t="inlineStr">
        <is>
          <t>Да</t>
        </is>
      </c>
      <c r="G17" s="99" t="inlineStr">
        <is>
          <t>1 ф М / 2 ф М</t>
        </is>
      </c>
      <c r="H17" s="104" t="inlineStr">
        <is>
          <t>1 эт.: Костеро, Линия 40, Линия 72, Логос, Логос мини, Арбор, Баня | 2 эт.: Палаццо, Эдем, Вилла Маре</t>
        </is>
      </c>
      <c r="I17" s="99" t="n"/>
      <c r="J17" s="100">
        <f t="array" ref="J17">IF(I17&lt;&gt;"",ROUND(INDEX('Каталог'!$F:$F,MATCH(I17,'Каталог'!$A:$A,0))/'Прайс'!$B$4,0),IFERROR(VLOOKUP(D17,'Прайс'!$A$7:$B$9,2,FALSE),'Прайс'!$B$2))</f>
        <v/>
      </c>
      <c r="K17" s="100">
        <f>IF(AND(C17&gt;0,J17&gt;0,E17&lt;&gt;"Продано"),ROUND(C17*J17,0),"")</f>
        <v/>
      </c>
      <c r="L17" s="100">
        <f>IF(AND(F17="Да",C17&gt;0,E17&lt;&gt;"Продано"),ROUND(C17*'Прайс'!$B$3,0),0)</f>
        <v/>
      </c>
      <c r="M17" s="100">
        <f t="array" ref="M17">IF(I17&lt;&gt;"",INDEX('Каталог'!$F:$F,MATCH(I17,'Каталог'!$A:$A,0)),"")</f>
        <v/>
      </c>
      <c r="N17" s="100">
        <f>IF(AND(E17&lt;&gt;"Продано",OR(K17&gt;0,M17&gt;0)),IFERROR(K17,0)+IFERROR(M17,0)+IFERROR(L17,0),"")</f>
        <v/>
      </c>
    </row>
    <row r="18">
      <c r="A18" s="99" t="n">
        <v>1546</v>
      </c>
      <c r="B18" s="99" t="inlineStr">
        <is>
          <t>Айвазовского</t>
        </is>
      </c>
      <c r="C18" s="99" t="n">
        <v>500</v>
      </c>
      <c r="D18" s="99" t="inlineStr">
        <is>
          <t>Виноградники / лиман / вулканы</t>
        </is>
      </c>
      <c r="E18" s="99" t="inlineStr">
        <is>
          <t>Свободно</t>
        </is>
      </c>
      <c r="F18" s="99" t="inlineStr">
        <is>
          <t>Нет</t>
        </is>
      </c>
      <c r="G18" s="99" t="inlineStr">
        <is>
          <t>1 ф ВЛВ / 2 ф ВЛВ</t>
        </is>
      </c>
      <c r="H18" s="104" t="inlineStr">
        <is>
          <t>1 эт.: Костеро, Линия 40, Линия 72, Логос, Логос мини, Арбор, Баня | 2 эт.: Палаццо, Эдем, Вилла Маре</t>
        </is>
      </c>
      <c r="I18" s="99" t="n"/>
      <c r="J18" s="100">
        <f t="array" ref="J18">IF(I18&lt;&gt;"",ROUND(INDEX('Каталог'!$F:$F,MATCH(I18,'Каталог'!$A:$A,0))/'Прайс'!$B$4,0),IFERROR(VLOOKUP(D18,'Прайс'!$A$7:$B$9,2,FALSE),'Прайс'!$B$2))</f>
        <v/>
      </c>
      <c r="K18" s="100">
        <f>IF(AND(C18&gt;0,J18&gt;0,E18&lt;&gt;"Продано"),ROUND(C18*J18,0),"")</f>
        <v/>
      </c>
      <c r="L18" s="100">
        <f>IF(AND(F18="Да",C18&gt;0,E18&lt;&gt;"Продано"),ROUND(C18*'Прайс'!$B$3,0),0)</f>
        <v/>
      </c>
      <c r="M18" s="100">
        <f t="array" ref="M18">IF(I18&lt;&gt;"",INDEX('Каталог'!$F:$F,MATCH(I18,'Каталог'!$A:$A,0)),"")</f>
        <v/>
      </c>
      <c r="N18" s="100">
        <f>IF(AND(E18&lt;&gt;"Продано",OR(K18&gt;0,M18&gt;0)),IFERROR(K18,0)+IFERROR(M18,0)+IFERROR(L18,0),"")</f>
        <v/>
      </c>
    </row>
    <row r="19">
      <c r="A19" s="99" t="n">
        <v>1547</v>
      </c>
      <c r="B19" s="99" t="inlineStr">
        <is>
          <t>Айвазовского</t>
        </is>
      </c>
      <c r="C19" s="99" t="n">
        <v>500</v>
      </c>
      <c r="D19" s="99" t="inlineStr">
        <is>
          <t>Виноградники / лиман / вулканы</t>
        </is>
      </c>
      <c r="E19" s="99" t="inlineStr">
        <is>
          <t>Свободно</t>
        </is>
      </c>
      <c r="F19" s="99" t="inlineStr">
        <is>
          <t>Нет</t>
        </is>
      </c>
      <c r="G19" s="99" t="inlineStr">
        <is>
          <t>1 ф ВЛВ / 2 ф ВЛВ</t>
        </is>
      </c>
      <c r="H19" s="104" t="inlineStr">
        <is>
          <t>1 эт.: Костеро, Линия 40, Линия 72, Логос, Логос мини, Арбор, Баня | 2 эт.: Палаццо, Эдем, Вилла Маре</t>
        </is>
      </c>
      <c r="I19" s="99" t="n"/>
      <c r="J19" s="100">
        <f t="array" ref="J19">IF(I19&lt;&gt;"",ROUND(INDEX('Каталог'!$F:$F,MATCH(I19,'Каталог'!$A:$A,0))/'Прайс'!$B$4,0),IFERROR(VLOOKUP(D19,'Прайс'!$A$7:$B$9,2,FALSE),'Прайс'!$B$2))</f>
        <v/>
      </c>
      <c r="K19" s="100">
        <f>IF(AND(C19&gt;0,J19&gt;0,E19&lt;&gt;"Продано"),ROUND(C19*J19,0),"")</f>
        <v/>
      </c>
      <c r="L19" s="100">
        <f>IF(AND(F19="Да",C19&gt;0,E19&lt;&gt;"Продано"),ROUND(C19*'Прайс'!$B$3,0),0)</f>
        <v/>
      </c>
      <c r="M19" s="100">
        <f t="array" ref="M19">IF(I19&lt;&gt;"",INDEX('Каталог'!$F:$F,MATCH(I19,'Каталог'!$A:$A,0)),"")</f>
        <v/>
      </c>
      <c r="N19" s="100">
        <f>IF(AND(E19&lt;&gt;"Продано",OR(K19&gt;0,M19&gt;0)),IFERROR(K19,0)+IFERROR(M19,0)+IFERROR(L19,0),"")</f>
        <v/>
      </c>
    </row>
    <row r="20">
      <c r="A20" s="99" t="n">
        <v>1548</v>
      </c>
      <c r="B20" s="99" t="inlineStr">
        <is>
          <t>Айвазовского</t>
        </is>
      </c>
      <c r="C20" s="99" t="n">
        <v>500</v>
      </c>
      <c r="D20" s="99" t="inlineStr">
        <is>
          <t>Виноградники / лиман / вулканы</t>
        </is>
      </c>
      <c r="E20" s="99" t="inlineStr">
        <is>
          <t>Свободно</t>
        </is>
      </c>
      <c r="F20" s="99" t="inlineStr">
        <is>
          <t>Нет</t>
        </is>
      </c>
      <c r="G20" s="99" t="inlineStr">
        <is>
          <t>1 ф ВЛВ / 2 ф ВЛВ</t>
        </is>
      </c>
      <c r="H20" s="104" t="inlineStr">
        <is>
          <t>1 эт.: Костеро, Линия 40, Линия 72, Логос, Логос мини, Арбор, Баня | 2 эт.: Палаццо, Эдем, Вилла Маре</t>
        </is>
      </c>
      <c r="I20" s="99" t="n"/>
      <c r="J20" s="100">
        <f t="array" ref="J20">IF(I20&lt;&gt;"",ROUND(INDEX('Каталог'!$F:$F,MATCH(I20,'Каталог'!$A:$A,0))/'Прайс'!$B$4,0),IFERROR(VLOOKUP(D20,'Прайс'!$A$7:$B$9,2,FALSE),'Прайс'!$B$2))</f>
        <v/>
      </c>
      <c r="K20" s="100">
        <f>IF(AND(C20&gt;0,J20&gt;0,E20&lt;&gt;"Продано"),ROUND(C20*J20,0),"")</f>
        <v/>
      </c>
      <c r="L20" s="100">
        <f>IF(AND(F20="Да",C20&gt;0,E20&lt;&gt;"Продано"),ROUND(C20*'Прайс'!$B$3,0),0)</f>
        <v/>
      </c>
      <c r="M20" s="100">
        <f t="array" ref="M20">IF(I20&lt;&gt;"",INDEX('Каталог'!$F:$F,MATCH(I20,'Каталог'!$A:$A,0)),"")</f>
        <v/>
      </c>
      <c r="N20" s="100">
        <f>IF(AND(E20&lt;&gt;"Продано",OR(K20&gt;0,M20&gt;0)),IFERROR(K20,0)+IFERROR(M20,0)+IFERROR(L20,0),"")</f>
        <v/>
      </c>
    </row>
    <row r="21" ht="15.75" customHeight="1" s="163">
      <c r="A21" s="99" t="n">
        <v>1549</v>
      </c>
      <c r="B21" s="99" t="inlineStr">
        <is>
          <t>Айвазовского</t>
        </is>
      </c>
      <c r="C21" s="99" t="n">
        <v>500</v>
      </c>
      <c r="D21" s="99" t="inlineStr">
        <is>
          <t>Виноградники / лиман / вулканы</t>
        </is>
      </c>
      <c r="E21" s="99" t="inlineStr">
        <is>
          <t>Свободно</t>
        </is>
      </c>
      <c r="F21" s="99" t="inlineStr">
        <is>
          <t>Нет</t>
        </is>
      </c>
      <c r="G21" s="99" t="inlineStr">
        <is>
          <t>1 ф ВЛВ / 2 ф ВЛВ</t>
        </is>
      </c>
      <c r="H21" s="104" t="inlineStr">
        <is>
          <t>1 эт.: Костеро, Линия 40, Линия 72, Логос, Логос мини, Арбор, Баня | 2 эт.: Палаццо, Эдем, Вилла Маре</t>
        </is>
      </c>
      <c r="I21" s="99" t="n"/>
      <c r="J21" s="100">
        <f t="array" ref="J21">IF(I21&lt;&gt;"",ROUND(INDEX('Каталог'!$F:$F,MATCH(I21,'Каталог'!$A:$A,0))/'Прайс'!$B$4,0),IFERROR(VLOOKUP(D21,'Прайс'!$A$7:$B$9,2,FALSE),'Прайс'!$B$2))</f>
        <v/>
      </c>
      <c r="K21" s="100">
        <f>IF(AND(C21&gt;0,J21&gt;0,E21&lt;&gt;"Продано"),ROUND(C21*J21,0),"")</f>
        <v/>
      </c>
      <c r="L21" s="100">
        <f>IF(AND(F21="Да",C21&gt;0,E21&lt;&gt;"Продано"),ROUND(C21*'Прайс'!$B$3,0),0)</f>
        <v/>
      </c>
      <c r="M21" s="100">
        <f t="array" ref="M21">IF(I21&lt;&gt;"",INDEX('Каталог'!$F:$F,MATCH(I21,'Каталог'!$A:$A,0)),"")</f>
        <v/>
      </c>
      <c r="N21" s="100">
        <f>IF(AND(E21&lt;&gt;"Продано",OR(K21&gt;0,M21&gt;0)),IFERROR(K21,0)+IFERROR(M21,0)+IFERROR(L21,0),"")</f>
        <v/>
      </c>
    </row>
    <row r="22" ht="15.75" customHeight="1" s="163">
      <c r="A22" s="99" t="n">
        <v>1550</v>
      </c>
      <c r="B22" s="99" t="inlineStr">
        <is>
          <t>Айвазовского</t>
        </is>
      </c>
      <c r="C22" s="99" t="n">
        <v>500</v>
      </c>
      <c r="D22" s="99" t="inlineStr">
        <is>
          <t>Виноградники / лиман / вулканы</t>
        </is>
      </c>
      <c r="E22" s="99" t="inlineStr">
        <is>
          <t>Свободно</t>
        </is>
      </c>
      <c r="F22" s="99" t="inlineStr">
        <is>
          <t>Нет</t>
        </is>
      </c>
      <c r="G22" s="99" t="inlineStr">
        <is>
          <t>1 ф ВЛВ / 2 ф ВЛВ</t>
        </is>
      </c>
      <c r="H22" s="104" t="inlineStr">
        <is>
          <t>1 эт.: Костеро, Линия 40, Линия 72, Логос, Логос мини, Арбор, Баня | 2 эт.: Палаццо, Эдем, Вилла Маре</t>
        </is>
      </c>
      <c r="I22" s="99" t="n"/>
      <c r="J22" s="100">
        <f t="array" ref="J22">IF(I22&lt;&gt;"",ROUND(INDEX('Каталог'!$F:$F,MATCH(I22,'Каталог'!$A:$A,0))/'Прайс'!$B$4,0),IFERROR(VLOOKUP(D22,'Прайс'!$A$7:$B$9,2,FALSE),'Прайс'!$B$2))</f>
        <v/>
      </c>
      <c r="K22" s="100">
        <f>IF(AND(C22&gt;0,J22&gt;0,E22&lt;&gt;"Продано"),ROUND(C22*J22,0),"")</f>
        <v/>
      </c>
      <c r="L22" s="100">
        <f>IF(AND(F22="Да",C22&gt;0,E22&lt;&gt;"Продано"),ROUND(C22*'Прайс'!$B$3,0),0)</f>
        <v/>
      </c>
      <c r="M22" s="100">
        <f t="array" ref="M22">IF(I22&lt;&gt;"",INDEX('Каталог'!$F:$F,MATCH(I22,'Каталог'!$A:$A,0)),"")</f>
        <v/>
      </c>
      <c r="N22" s="100">
        <f>IF(AND(E22&lt;&gt;"Продано",OR(K22&gt;0,M22&gt;0)),IFERROR(K22,0)+IFERROR(M22,0)+IFERROR(L22,0),"")</f>
        <v/>
      </c>
    </row>
    <row r="23" ht="15.75" customHeight="1" s="163">
      <c r="A23" s="99" t="n">
        <v>1551</v>
      </c>
      <c r="B23" s="99" t="inlineStr">
        <is>
          <t>Айвазовского</t>
        </is>
      </c>
      <c r="C23" s="99" t="n">
        <v>500</v>
      </c>
      <c r="D23" s="99" t="inlineStr">
        <is>
          <t>Виноградники / лиман / вулканы</t>
        </is>
      </c>
      <c r="E23" s="99" t="inlineStr">
        <is>
          <t>Свободно</t>
        </is>
      </c>
      <c r="F23" s="99" t="inlineStr">
        <is>
          <t>Нет</t>
        </is>
      </c>
      <c r="G23" s="99" t="inlineStr">
        <is>
          <t>1 ф ВЛВ / 2 ф ВЛВ</t>
        </is>
      </c>
      <c r="H23" s="104" t="inlineStr">
        <is>
          <t>1 эт.: Костеро, Линия 40, Линия 72, Логос, Логос мини, Арбор, Баня | 2 эт.: Палаццо, Эдем, Вилла Маре</t>
        </is>
      </c>
      <c r="I23" s="99" t="n"/>
      <c r="J23" s="100">
        <f t="array" ref="J23">IF(I23&lt;&gt;"",ROUND(INDEX('Каталог'!$F:$F,MATCH(I23,'Каталог'!$A:$A,0))/'Прайс'!$B$4,0),IFERROR(VLOOKUP(D23,'Прайс'!$A$7:$B$9,2,FALSE),'Прайс'!$B$2))</f>
        <v/>
      </c>
      <c r="K23" s="100">
        <f>IF(AND(C23&gt;0,J23&gt;0,E23&lt;&gt;"Продано"),ROUND(C23*J23,0),"")</f>
        <v/>
      </c>
      <c r="L23" s="100">
        <f>IF(AND(F23="Да",C23&gt;0,E23&lt;&gt;"Продано"),ROUND(C23*'Прайс'!$B$3,0),0)</f>
        <v/>
      </c>
      <c r="M23" s="100">
        <f t="array" ref="M23">IF(I23&lt;&gt;"",INDEX('Каталог'!$F:$F,MATCH(I23,'Каталог'!$A:$A,0)),"")</f>
        <v/>
      </c>
      <c r="N23" s="100">
        <f>IF(AND(E23&lt;&gt;"Продано",OR(K23&gt;0,M23&gt;0)),IFERROR(K23,0)+IFERROR(M23,0)+IFERROR(L23,0),"")</f>
        <v/>
      </c>
    </row>
    <row r="24" ht="15.75" customHeight="1" s="163">
      <c r="A24" s="99" t="n">
        <v>1552</v>
      </c>
      <c r="B24" s="99" t="inlineStr">
        <is>
          <t>Айвазовского</t>
        </is>
      </c>
      <c r="C24" s="99" t="n">
        <v>783</v>
      </c>
      <c r="D24" s="99" t="inlineStr">
        <is>
          <t>Виноградники / лиман / вулканы</t>
        </is>
      </c>
      <c r="E24" s="99" t="inlineStr">
        <is>
          <t>Свободно</t>
        </is>
      </c>
      <c r="F24" s="99" t="inlineStr">
        <is>
          <t>Да</t>
        </is>
      </c>
      <c r="G24" s="99" t="inlineStr">
        <is>
          <t>1 ф ВЛВ / 2 ф ВЛВ</t>
        </is>
      </c>
      <c r="H24" s="104" t="inlineStr">
        <is>
          <t>1 эт.: Костеро, Линия 40, Линия 72, Логос, Логос мини, Арбор, Баня | 2 эт.: Палаццо, Эдем, Вилла Маре</t>
        </is>
      </c>
      <c r="I24" s="99" t="n"/>
      <c r="J24" s="100">
        <f t="array" ref="J24">IF(I24&lt;&gt;"",ROUND(INDEX('Каталог'!$F:$F,MATCH(I24,'Каталог'!$A:$A,0))/'Прайс'!$B$4,0),IFERROR(VLOOKUP(D24,'Прайс'!$A$7:$B$9,2,FALSE),'Прайс'!$B$2))</f>
        <v/>
      </c>
      <c r="K24" s="100">
        <f>IF(AND(C24&gt;0,J24&gt;0,E24&lt;&gt;"Продано"),ROUND(C24*J24,0),"")</f>
        <v/>
      </c>
      <c r="L24" s="100">
        <f>IF(AND(F24="Да",C24&gt;0,E24&lt;&gt;"Продано"),ROUND(C24*'Прайс'!$B$3,0),0)</f>
        <v/>
      </c>
      <c r="M24" s="100">
        <f t="array" ref="M24">IF(I24&lt;&gt;"",INDEX('Каталог'!$F:$F,MATCH(I24,'Каталог'!$A:$A,0)),"")</f>
        <v/>
      </c>
      <c r="N24" s="100">
        <f>IF(AND(E24&lt;&gt;"Продано",OR(K24&gt;0,M24&gt;0)),IFERROR(K24,0)+IFERROR(M24,0)+IFERROR(L24,0),"")</f>
        <v/>
      </c>
    </row>
    <row r="25" ht="15.75" customHeight="1" s="163">
      <c r="A25" s="99" t="n">
        <v>1553</v>
      </c>
      <c r="B25" s="99" t="inlineStr">
        <is>
          <t>Айвазовского</t>
        </is>
      </c>
      <c r="C25" s="99" t="n">
        <v>783</v>
      </c>
      <c r="D25" s="99" t="inlineStr">
        <is>
          <t>Вид на море</t>
        </is>
      </c>
      <c r="E25" s="99" t="inlineStr">
        <is>
          <t>Свободно</t>
        </is>
      </c>
      <c r="F25" s="99" t="inlineStr">
        <is>
          <t>Да</t>
        </is>
      </c>
      <c r="G25" s="99" t="inlineStr">
        <is>
          <t>1 ф М / 2 ф М</t>
        </is>
      </c>
      <c r="H25" s="104" t="inlineStr">
        <is>
          <t>1 эт.: Костеро, Линия 40, Линия 72, Логос, Логос мини, Арбор, Баня | 2 эт.: Палаццо, Эдем, Вилла Маре</t>
        </is>
      </c>
      <c r="I25" s="99" t="n"/>
      <c r="J25" s="100">
        <f t="array" ref="J25">IF(I25&lt;&gt;"",ROUND(INDEX('Каталог'!$F:$F,MATCH(I25,'Каталог'!$A:$A,0))/'Прайс'!$B$4,0),IFERROR(VLOOKUP(D25,'Прайс'!$A$7:$B$9,2,FALSE),'Прайс'!$B$2))</f>
        <v/>
      </c>
      <c r="K25" s="100">
        <f>IF(AND(C25&gt;0,J25&gt;0,E25&lt;&gt;"Продано"),ROUND(C25*J25,0),"")</f>
        <v/>
      </c>
      <c r="L25" s="100">
        <f>IF(AND(F25="Да",C25&gt;0,E25&lt;&gt;"Продано"),ROUND(C25*'Прайс'!$B$3,0),0)</f>
        <v/>
      </c>
      <c r="M25" s="100">
        <f t="array" ref="M25">IF(I25&lt;&gt;"",INDEX('Каталог'!$F:$F,MATCH(I25,'Каталог'!$A:$A,0)),"")</f>
        <v/>
      </c>
      <c r="N25" s="100">
        <f>IF(AND(E25&lt;&gt;"Продано",OR(K25&gt;0,M25&gt;0)),IFERROR(K25,0)+IFERROR(M25,0)+IFERROR(L25,0),"")</f>
        <v/>
      </c>
    </row>
    <row r="26" ht="15.75" customHeight="1" s="163">
      <c r="A26" s="99" t="n">
        <v>1555</v>
      </c>
      <c r="B26" s="99" t="inlineStr">
        <is>
          <t>Корабельная</t>
        </is>
      </c>
      <c r="C26" s="99" t="n"/>
      <c r="D26" s="99" t="n"/>
      <c r="E26" s="99" t="inlineStr">
        <is>
          <t>Продано</t>
        </is>
      </c>
      <c r="F26" s="99" t="inlineStr">
        <is>
          <t>Нет</t>
        </is>
      </c>
      <c r="G26" s="99" t="inlineStr">
        <is>
          <t>—</t>
        </is>
      </c>
      <c r="H26" s="104" t="inlineStr">
        <is>
          <t>—</t>
        </is>
      </c>
      <c r="I26" s="99" t="n"/>
      <c r="J26" s="100">
        <f t="array" ref="J26">IF(I26&lt;&gt;"",ROUND(INDEX('Каталог'!$F:$F,MATCH(I26,'Каталог'!$A:$A,0))/'Прайс'!$B$4,0),IFERROR(VLOOKUP(D26,'Прайс'!$A$7:$B$9,2,FALSE),'Прайс'!$B$2))</f>
        <v/>
      </c>
      <c r="K26" s="100">
        <f>IF(AND(C26&gt;0,J26&gt;0,E26&lt;&gt;"Продано"),ROUND(C26*J26,0),"")</f>
        <v/>
      </c>
      <c r="L26" s="100">
        <f>IF(AND(F26="Да",C26&gt;0,E26&lt;&gt;"Продано"),ROUND(C26*'Прайс'!$B$3,0),0)</f>
        <v/>
      </c>
      <c r="M26" s="100">
        <f t="array" ref="M26">IF(I26&lt;&gt;"",INDEX('Каталог'!$F:$F,MATCH(I26,'Каталог'!$A:$A,0)),"")</f>
        <v/>
      </c>
      <c r="N26" s="100">
        <f>IF(AND(E26&lt;&gt;"Продано",OR(K26&gt;0,M26&gt;0)),IFERROR(K26,0)+IFERROR(M26,0)+IFERROR(L26,0),"")</f>
        <v/>
      </c>
    </row>
    <row r="27" ht="15.75" customHeight="1" s="163">
      <c r="A27" s="99" t="n">
        <v>1556</v>
      </c>
      <c r="B27" s="99" t="inlineStr">
        <is>
          <t>Корабельная</t>
        </is>
      </c>
      <c r="C27" s="99" t="n"/>
      <c r="D27" s="99" t="n"/>
      <c r="E27" s="99" t="inlineStr">
        <is>
          <t>Продано</t>
        </is>
      </c>
      <c r="F27" s="99" t="inlineStr">
        <is>
          <t>Нет</t>
        </is>
      </c>
      <c r="G27" s="99" t="inlineStr">
        <is>
          <t>—</t>
        </is>
      </c>
      <c r="H27" s="104" t="inlineStr">
        <is>
          <t>—</t>
        </is>
      </c>
      <c r="I27" s="99" t="n"/>
      <c r="J27" s="100">
        <f t="array" ref="J27">IF(I27&lt;&gt;"",ROUND(INDEX('Каталог'!$F:$F,MATCH(I27,'Каталог'!$A:$A,0))/'Прайс'!$B$4,0),IFERROR(VLOOKUP(D27,'Прайс'!$A$7:$B$9,2,FALSE),'Прайс'!$B$2))</f>
        <v/>
      </c>
      <c r="K27" s="100">
        <f>IF(AND(C27&gt;0,J27&gt;0,E27&lt;&gt;"Продано"),ROUND(C27*J27,0),"")</f>
        <v/>
      </c>
      <c r="L27" s="100">
        <f>IF(AND(F27="Да",C27&gt;0,E27&lt;&gt;"Продано"),ROUND(C27*'Прайс'!$B$3,0),0)</f>
        <v/>
      </c>
      <c r="M27" s="100">
        <f t="array" ref="M27">IF(I27&lt;&gt;"",INDEX('Каталог'!$F:$F,MATCH(I27,'Каталог'!$A:$A,0)),"")</f>
        <v/>
      </c>
      <c r="N27" s="100">
        <f>IF(AND(E27&lt;&gt;"Продано",OR(K27&gt;0,M27&gt;0)),IFERROR(K27,0)+IFERROR(M27,0)+IFERROR(L27,0),"")</f>
        <v/>
      </c>
    </row>
    <row r="28" ht="15.75" customHeight="1" s="163">
      <c r="A28" s="99" t="n">
        <v>1557</v>
      </c>
      <c r="B28" s="99" t="inlineStr">
        <is>
          <t>Корабельная</t>
        </is>
      </c>
      <c r="C28" s="99" t="n"/>
      <c r="D28" s="99" t="n"/>
      <c r="E28" s="99" t="inlineStr">
        <is>
          <t>Продано</t>
        </is>
      </c>
      <c r="F28" s="99" t="inlineStr">
        <is>
          <t>Нет</t>
        </is>
      </c>
      <c r="G28" s="99" t="inlineStr">
        <is>
          <t>—</t>
        </is>
      </c>
      <c r="H28" s="104" t="inlineStr">
        <is>
          <t>—</t>
        </is>
      </c>
      <c r="I28" s="99" t="n"/>
      <c r="J28" s="100">
        <f t="array" ref="J28">IF(I28&lt;&gt;"",ROUND(INDEX('Каталог'!$F:$F,MATCH(I28,'Каталог'!$A:$A,0))/'Прайс'!$B$4,0),IFERROR(VLOOKUP(D28,'Прайс'!$A$7:$B$9,2,FALSE),'Прайс'!$B$2))</f>
        <v/>
      </c>
      <c r="K28" s="100">
        <f>IF(AND(C28&gt;0,J28&gt;0,E28&lt;&gt;"Продано"),ROUND(C28*J28,0),"")</f>
        <v/>
      </c>
      <c r="L28" s="100">
        <f>IF(AND(F28="Да",C28&gt;0,E28&lt;&gt;"Продано"),ROUND(C28*'Прайс'!$B$3,0),0)</f>
        <v/>
      </c>
      <c r="M28" s="100">
        <f t="array" ref="M28">IF(I28&lt;&gt;"",INDEX('Каталог'!$F:$F,MATCH(I28,'Каталог'!$A:$A,0)),"")</f>
        <v/>
      </c>
      <c r="N28" s="100">
        <f>IF(AND(E28&lt;&gt;"Продано",OR(K28&gt;0,M28&gt;0)),IFERROR(K28,0)+IFERROR(M28,0)+IFERROR(L28,0),"")</f>
        <v/>
      </c>
    </row>
    <row r="29" ht="15.75" customHeight="1" s="163">
      <c r="A29" s="99" t="n">
        <v>1561</v>
      </c>
      <c r="B29" s="99" t="inlineStr">
        <is>
          <t>Корабельная</t>
        </is>
      </c>
      <c r="C29" s="99" t="n"/>
      <c r="D29" s="99" t="n"/>
      <c r="E29" s="99" t="inlineStr">
        <is>
          <t>Продано</t>
        </is>
      </c>
      <c r="F29" s="99" t="inlineStr">
        <is>
          <t>Нет</t>
        </is>
      </c>
      <c r="G29" s="99" t="inlineStr">
        <is>
          <t>—</t>
        </is>
      </c>
      <c r="H29" s="104" t="inlineStr">
        <is>
          <t>—</t>
        </is>
      </c>
      <c r="I29" s="99" t="n"/>
      <c r="J29" s="100">
        <f t="array" ref="J29">IF(I29&lt;&gt;"",ROUND(INDEX('Каталог'!$F:$F,MATCH(I29,'Каталог'!$A:$A,0))/'Прайс'!$B$4,0),IFERROR(VLOOKUP(D29,'Прайс'!$A$7:$B$9,2,FALSE),'Прайс'!$B$2))</f>
        <v/>
      </c>
      <c r="K29" s="100">
        <f>IF(AND(C29&gt;0,J29&gt;0,E29&lt;&gt;"Продано"),ROUND(C29*J29,0),"")</f>
        <v/>
      </c>
      <c r="L29" s="100">
        <f>IF(AND(F29="Да",C29&gt;0,E29&lt;&gt;"Продано"),ROUND(C29*'Прайс'!$B$3,0),0)</f>
        <v/>
      </c>
      <c r="M29" s="100">
        <f t="array" ref="M29">IF(I29&lt;&gt;"",INDEX('Каталог'!$F:$F,MATCH(I29,'Каталог'!$A:$A,0)),"")</f>
        <v/>
      </c>
      <c r="N29" s="100">
        <f>IF(AND(E29&lt;&gt;"Продано",OR(K29&gt;0,M29&gt;0)),IFERROR(K29,0)+IFERROR(M29,0)+IFERROR(L29,0),"")</f>
        <v/>
      </c>
    </row>
    <row r="30" ht="15.75" customHeight="1" s="163">
      <c r="A30" s="99" t="n">
        <v>1569</v>
      </c>
      <c r="B30" s="99" t="inlineStr">
        <is>
          <t>Корабельная</t>
        </is>
      </c>
      <c r="C30" s="99" t="n">
        <v>500</v>
      </c>
      <c r="D30" s="99" t="n"/>
      <c r="E30" s="99" t="inlineStr">
        <is>
          <t>Продано</t>
        </is>
      </c>
      <c r="F30" s="99" t="inlineStr">
        <is>
          <t>Нет</t>
        </is>
      </c>
      <c r="G30" s="99" t="inlineStr">
        <is>
          <t>—</t>
        </is>
      </c>
      <c r="H30" s="104" t="inlineStr">
        <is>
          <t>—</t>
        </is>
      </c>
      <c r="I30" s="99" t="n"/>
      <c r="J30" s="100">
        <f t="array" ref="J30">IF(I30&lt;&gt;"",ROUND(INDEX('Каталог'!$F:$F,MATCH(I30,'Каталог'!$A:$A,0))/'Прайс'!$B$4,0),IFERROR(VLOOKUP(D30,'Прайс'!$A$7:$B$9,2,FALSE),'Прайс'!$B$2))</f>
        <v/>
      </c>
      <c r="K30" s="100">
        <f>IF(AND(C30&gt;0,J30&gt;0,E30&lt;&gt;"Продано"),ROUND(C30*J30,0),"")</f>
        <v/>
      </c>
      <c r="L30" s="100">
        <f>IF(AND(F30="Да",C30&gt;0,E30&lt;&gt;"Продано"),ROUND(C30*'Прайс'!$B$3,0),0)</f>
        <v/>
      </c>
      <c r="M30" s="100">
        <f t="array" ref="M30">IF(I30&lt;&gt;"",INDEX('Каталог'!$F:$F,MATCH(I30,'Каталог'!$A:$A,0)),"")</f>
        <v/>
      </c>
      <c r="N30" s="100">
        <f>IF(AND(E30&lt;&gt;"Продано",OR(K30&gt;0,M30&gt;0)),IFERROR(K30,0)+IFERROR(M30,0)+IFERROR(L30,0),"")</f>
        <v/>
      </c>
    </row>
    <row r="31" ht="15.75" customHeight="1" s="163">
      <c r="A31" s="99" t="n">
        <v>1570</v>
      </c>
      <c r="B31" s="99" t="inlineStr">
        <is>
          <t>Корабельная</t>
        </is>
      </c>
      <c r="C31" s="99" t="n">
        <v>500</v>
      </c>
      <c r="D31" s="99" t="n"/>
      <c r="E31" s="99" t="inlineStr">
        <is>
          <t>Продано</t>
        </is>
      </c>
      <c r="F31" s="99" t="inlineStr">
        <is>
          <t>Нет</t>
        </is>
      </c>
      <c r="G31" s="99" t="inlineStr">
        <is>
          <t>—</t>
        </is>
      </c>
      <c r="H31" s="104" t="inlineStr">
        <is>
          <t>—</t>
        </is>
      </c>
      <c r="I31" s="99" t="n"/>
      <c r="J31" s="100">
        <f t="array" ref="J31">IF(I31&lt;&gt;"",ROUND(INDEX('Каталог'!$F:$F,MATCH(I31,'Каталог'!$A:$A,0))/'Прайс'!$B$4,0),IFERROR(VLOOKUP(D31,'Прайс'!$A$7:$B$9,2,FALSE),'Прайс'!$B$2))</f>
        <v/>
      </c>
      <c r="K31" s="100">
        <f>IF(AND(C31&gt;0,J31&gt;0,E31&lt;&gt;"Продано"),ROUND(C31*J31,0),"")</f>
        <v/>
      </c>
      <c r="L31" s="100">
        <f>IF(AND(F31="Да",C31&gt;0,E31&lt;&gt;"Продано"),ROUND(C31*'Прайс'!$B$3,0),0)</f>
        <v/>
      </c>
      <c r="M31" s="100">
        <f t="array" ref="M31">IF(I31&lt;&gt;"",INDEX('Каталог'!$F:$F,MATCH(I31,'Каталог'!$A:$A,0)),"")</f>
        <v/>
      </c>
      <c r="N31" s="100">
        <f>IF(AND(E31&lt;&gt;"Продано",OR(K31&gt;0,M31&gt;0)),IFERROR(K31,0)+IFERROR(M31,0)+IFERROR(L31,0),"")</f>
        <v/>
      </c>
    </row>
    <row r="32" ht="15.75" customHeight="1" s="163">
      <c r="A32" s="99" t="n">
        <v>1571</v>
      </c>
      <c r="B32" s="99" t="inlineStr">
        <is>
          <t>Корабельная</t>
        </is>
      </c>
      <c r="C32" s="99" t="n"/>
      <c r="D32" s="99" t="n"/>
      <c r="E32" s="99" t="inlineStr">
        <is>
          <t>Продано</t>
        </is>
      </c>
      <c r="F32" s="99" t="inlineStr">
        <is>
          <t>Нет</t>
        </is>
      </c>
      <c r="G32" s="99" t="inlineStr">
        <is>
          <t>—</t>
        </is>
      </c>
      <c r="H32" s="104" t="inlineStr">
        <is>
          <t>—</t>
        </is>
      </c>
      <c r="I32" s="99" t="n"/>
      <c r="J32" s="100">
        <f t="array" ref="J32">IF(I32&lt;&gt;"",ROUND(INDEX('Каталог'!$F:$F,MATCH(I32,'Каталог'!$A:$A,0))/'Прайс'!$B$4,0),IFERROR(VLOOKUP(D32,'Прайс'!$A$7:$B$9,2,FALSE),'Прайс'!$B$2))</f>
        <v/>
      </c>
      <c r="K32" s="100">
        <f>IF(AND(C32&gt;0,J32&gt;0,E32&lt;&gt;"Продано"),ROUND(C32*J32,0),"")</f>
        <v/>
      </c>
      <c r="L32" s="100">
        <f>IF(AND(F32="Да",C32&gt;0,E32&lt;&gt;"Продано"),ROUND(C32*'Прайс'!$B$3,0),0)</f>
        <v/>
      </c>
      <c r="M32" s="100">
        <f t="array" ref="M32">IF(I32&lt;&gt;"",INDEX('Каталог'!$F:$F,MATCH(I32,'Каталог'!$A:$A,0)),"")</f>
        <v/>
      </c>
      <c r="N32" s="100">
        <f>IF(AND(E32&lt;&gt;"Продано",OR(K32&gt;0,M32&gt;0)),IFERROR(K32,0)+IFERROR(M32,0)+IFERROR(L32,0),"")</f>
        <v/>
      </c>
    </row>
    <row r="33" ht="15.75" customHeight="1" s="163">
      <c r="A33" s="99" t="n">
        <v>1572</v>
      </c>
      <c r="B33" s="99" t="inlineStr">
        <is>
          <t>Айвазовского</t>
        </is>
      </c>
      <c r="C33" s="99" t="n">
        <v>500</v>
      </c>
      <c r="D33" s="99" t="inlineStr">
        <is>
          <t>Виноградники / лиман / вулканы</t>
        </is>
      </c>
      <c r="E33" s="99" t="inlineStr">
        <is>
          <t>Свободно</t>
        </is>
      </c>
      <c r="F33" s="99" t="inlineStr">
        <is>
          <t>Нет</t>
        </is>
      </c>
      <c r="G33" s="99" t="inlineStr">
        <is>
          <t>1 ф ВЛВ / 2 ф ВЛВ</t>
        </is>
      </c>
      <c r="H33" s="104" t="inlineStr">
        <is>
          <t>1 эт.: Костеро, Линия 40, Линия 72, Логос, Логос мини, Арбор, Баня | 2 эт.: Палаццо, Эдем, Вилла Маре</t>
        </is>
      </c>
      <c r="I33" s="99" t="n"/>
      <c r="J33" s="100">
        <f t="array" ref="J33">IF(I33&lt;&gt;"",ROUND(INDEX('Каталог'!$F:$F,MATCH(I33,'Каталог'!$A:$A,0))/'Прайс'!$B$4,0),IFERROR(VLOOKUP(D33,'Прайс'!$A$7:$B$9,2,FALSE),'Прайс'!$B$2))</f>
        <v/>
      </c>
      <c r="K33" s="100">
        <f>IF(AND(C33&gt;0,J33&gt;0,E33&lt;&gt;"Продано"),ROUND(C33*J33,0),"")</f>
        <v/>
      </c>
      <c r="L33" s="100">
        <f>IF(AND(F33="Да",C33&gt;0,E33&lt;&gt;"Продано"),ROUND(C33*'Прайс'!$B$3,0),0)</f>
        <v/>
      </c>
      <c r="M33" s="100">
        <f t="array" ref="M33">IF(I33&lt;&gt;"",INDEX('Каталог'!$F:$F,MATCH(I33,'Каталог'!$A:$A,0)),"")</f>
        <v/>
      </c>
      <c r="N33" s="100">
        <f>IF(AND(E33&lt;&gt;"Продано",OR(K33&gt;0,M33&gt;0)),IFERROR(K33,0)+IFERROR(M33,0)+IFERROR(L33,0),"")</f>
        <v/>
      </c>
    </row>
    <row r="34" ht="15.75" customHeight="1" s="163">
      <c r="A34" s="99" t="n">
        <v>1573</v>
      </c>
      <c r="B34" s="99" t="inlineStr">
        <is>
          <t>Айвазовского</t>
        </is>
      </c>
      <c r="C34" s="99" t="n"/>
      <c r="D34" s="99" t="n"/>
      <c r="E34" s="99" t="inlineStr">
        <is>
          <t>Резерв</t>
        </is>
      </c>
      <c r="F34" s="99" t="inlineStr">
        <is>
          <t>Нет</t>
        </is>
      </c>
      <c r="G34" s="99" t="inlineStr">
        <is>
          <t>—</t>
        </is>
      </c>
      <c r="H34" s="104" t="inlineStr">
        <is>
          <t>—</t>
        </is>
      </c>
      <c r="I34" s="99" t="n"/>
      <c r="J34" s="100">
        <f t="array" ref="J34">IF(I34&lt;&gt;"",ROUND(INDEX('Каталог'!$F:$F,MATCH(I34,'Каталог'!$A:$A,0))/'Прайс'!$B$4,0),IFERROR(VLOOKUP(D34,'Прайс'!$A$7:$B$9,2,FALSE),'Прайс'!$B$2))</f>
        <v/>
      </c>
      <c r="K34" s="100">
        <f>IF(AND(C34&gt;0,J34&gt;0,E34&lt;&gt;"Продано"),ROUND(C34*J34,0),"")</f>
        <v/>
      </c>
      <c r="L34" s="100">
        <f>IF(AND(F34="Да",C34&gt;0,E34&lt;&gt;"Продано"),ROUND(C34*'Прайс'!$B$3,0),0)</f>
        <v/>
      </c>
      <c r="M34" s="100">
        <f t="array" ref="M34">IF(I34&lt;&gt;"",INDEX('Каталог'!$F:$F,MATCH(I34,'Каталог'!$A:$A,0)),"")</f>
        <v/>
      </c>
      <c r="N34" s="100">
        <f>IF(AND(E34&lt;&gt;"Продано",OR(K34&gt;0,M34&gt;0)),IFERROR(K34,0)+IFERROR(M34,0)+IFERROR(L34,0),"")</f>
        <v/>
      </c>
    </row>
    <row r="35" ht="15.75" customHeight="1" s="163">
      <c r="A35" s="99" t="n">
        <v>1574</v>
      </c>
      <c r="B35" s="99" t="inlineStr">
        <is>
          <t>Айвазовского</t>
        </is>
      </c>
      <c r="C35" s="99" t="n"/>
      <c r="D35" s="99" t="inlineStr">
        <is>
          <t>Виноградники / лиман / вулканы</t>
        </is>
      </c>
      <c r="E35" s="99" t="inlineStr">
        <is>
          <t>Свободно</t>
        </is>
      </c>
      <c r="F35" s="99" t="inlineStr">
        <is>
          <t>Нет</t>
        </is>
      </c>
      <c r="G35" s="99" t="inlineStr">
        <is>
          <t>1 ф ВЛВ / 2 ф ВЛВ</t>
        </is>
      </c>
      <c r="H35" s="104" t="inlineStr">
        <is>
          <t>1 эт.: Костеро, Линия 40, Линия 72, Логос, Логос мини, Арбор, Баня | 2 эт.: Палаццо, Эдем, Вилла Маре</t>
        </is>
      </c>
      <c r="I35" s="99" t="n"/>
      <c r="J35" s="100">
        <f t="array" ref="J35">IF(I35&lt;&gt;"",ROUND(INDEX('Каталог'!$F:$F,MATCH(I35,'Каталог'!$A:$A,0))/'Прайс'!$B$4,0),IFERROR(VLOOKUP(D35,'Прайс'!$A$7:$B$9,2,FALSE),'Прайс'!$B$2))</f>
        <v/>
      </c>
      <c r="K35" s="100">
        <f>IF(AND(C35&gt;0,J35&gt;0,E35&lt;&gt;"Продано"),ROUND(C35*J35,0),"")</f>
        <v/>
      </c>
      <c r="L35" s="100">
        <f>IF(AND(F35="Да",C35&gt;0,E35&lt;&gt;"Продано"),ROUND(C35*'Прайс'!$B$3,0),0)</f>
        <v/>
      </c>
      <c r="M35" s="100">
        <f t="array" ref="M35">IF(I35&lt;&gt;"",INDEX('Каталог'!$F:$F,MATCH(I35,'Каталог'!$A:$A,0)),"")</f>
        <v/>
      </c>
      <c r="N35" s="100">
        <f>IF(AND(E35&lt;&gt;"Продано",OR(K35&gt;0,M35&gt;0)),IFERROR(K35,0)+IFERROR(M35,0)+IFERROR(L35,0),"")</f>
        <v/>
      </c>
    </row>
    <row r="36" ht="15.75" customHeight="1" s="163">
      <c r="A36" s="99" t="n">
        <v>1575</v>
      </c>
      <c r="B36" s="99" t="inlineStr">
        <is>
          <t>Айвазовского</t>
        </is>
      </c>
      <c r="C36" s="99" t="n"/>
      <c r="D36" s="99" t="inlineStr">
        <is>
          <t>Вид на море</t>
        </is>
      </c>
      <c r="E36" s="99" t="inlineStr">
        <is>
          <t>Свободно</t>
        </is>
      </c>
      <c r="F36" s="99" t="inlineStr">
        <is>
          <t>Нет</t>
        </is>
      </c>
      <c r="G36" s="99" t="inlineStr">
        <is>
          <t>1 ф М / 2 ф М</t>
        </is>
      </c>
      <c r="H36" s="104" t="inlineStr">
        <is>
          <t>1 эт.: Костеро, Линия 40, Линия 72, Логос, Логос мини, Арбор, Баня | 2 эт.: Палаццо, Эдем, Вилла Маре</t>
        </is>
      </c>
      <c r="I36" s="99" t="n"/>
      <c r="J36" s="100">
        <f t="array" ref="J36">IF(I36&lt;&gt;"",ROUND(INDEX('Каталог'!$F:$F,MATCH(I36,'Каталог'!$A:$A,0))/'Прайс'!$B$4,0),IFERROR(VLOOKUP(D36,'Прайс'!$A$7:$B$9,2,FALSE),'Прайс'!$B$2))</f>
        <v/>
      </c>
      <c r="K36" s="100">
        <f>IF(AND(C36&gt;0,J36&gt;0,E36&lt;&gt;"Продано"),ROUND(C36*J36,0),"")</f>
        <v/>
      </c>
      <c r="L36" s="100">
        <f>IF(AND(F36="Да",C36&gt;0,E36&lt;&gt;"Продано"),ROUND(C36*'Прайс'!$B$3,0),0)</f>
        <v/>
      </c>
      <c r="M36" s="100">
        <f t="array" ref="M36">IF(I36&lt;&gt;"",INDEX('Каталог'!$F:$F,MATCH(I36,'Каталог'!$A:$A,0)),"")</f>
        <v/>
      </c>
      <c r="N36" s="100">
        <f>IF(AND(E36&lt;&gt;"Продано",OR(K36&gt;0,M36&gt;0)),IFERROR(K36,0)+IFERROR(M36,0)+IFERROR(L36,0),"")</f>
        <v/>
      </c>
    </row>
    <row r="37" ht="15.75" customHeight="1" s="163">
      <c r="A37" s="99" t="n">
        <v>1576</v>
      </c>
      <c r="B37" s="99" t="inlineStr">
        <is>
          <t>Айвазовского</t>
        </is>
      </c>
      <c r="C37" s="99" t="n"/>
      <c r="D37" s="99" t="inlineStr">
        <is>
          <t>Вид на море</t>
        </is>
      </c>
      <c r="E37" s="99" t="inlineStr">
        <is>
          <t>Свободно</t>
        </is>
      </c>
      <c r="F37" s="99" t="inlineStr">
        <is>
          <t>Нет</t>
        </is>
      </c>
      <c r="G37" s="99" t="inlineStr">
        <is>
          <t>1 ф М / 2 ф М</t>
        </is>
      </c>
      <c r="H37" s="104" t="inlineStr">
        <is>
          <t>1 эт.: Костеро, Линия 40, Линия 72, Логос, Логос мини, Арбор, Баня | 2 эт.: Палаццо, Эдем, Вилла Маре</t>
        </is>
      </c>
      <c r="I37" s="99" t="n"/>
      <c r="J37" s="100">
        <f t="array" ref="J37">IF(I37&lt;&gt;"",ROUND(INDEX('Каталог'!$F:$F,MATCH(I37,'Каталог'!$A:$A,0))/'Прайс'!$B$4,0),IFERROR(VLOOKUP(D37,'Прайс'!$A$7:$B$9,2,FALSE),'Прайс'!$B$2))</f>
        <v/>
      </c>
      <c r="K37" s="100">
        <f>IF(AND(C37&gt;0,J37&gt;0,E37&lt;&gt;"Продано"),ROUND(C37*J37,0),"")</f>
        <v/>
      </c>
      <c r="L37" s="100">
        <f>IF(AND(F37="Да",C37&gt;0,E37&lt;&gt;"Продано"),ROUND(C37*'Прайс'!$B$3,0),0)</f>
        <v/>
      </c>
      <c r="M37" s="100">
        <f t="array" ref="M37">IF(I37&lt;&gt;"",INDEX('Каталог'!$F:$F,MATCH(I37,'Каталог'!$A:$A,0)),"")</f>
        <v/>
      </c>
      <c r="N37" s="100">
        <f>IF(AND(E37&lt;&gt;"Продано",OR(K37&gt;0,M37&gt;0)),IFERROR(K37,0)+IFERROR(M37,0)+IFERROR(L37,0),"")</f>
        <v/>
      </c>
    </row>
    <row r="38" ht="15.75" customHeight="1" s="163">
      <c r="A38" s="99" t="n">
        <v>1577</v>
      </c>
      <c r="B38" s="99" t="inlineStr">
        <is>
          <t>Айвазовского</t>
        </is>
      </c>
      <c r="C38" s="99" t="n"/>
      <c r="D38" s="99" t="inlineStr">
        <is>
          <t>Вид на море</t>
        </is>
      </c>
      <c r="E38" s="99" t="inlineStr">
        <is>
          <t>Свободно</t>
        </is>
      </c>
      <c r="F38" s="99" t="inlineStr">
        <is>
          <t>Нет</t>
        </is>
      </c>
      <c r="G38" s="99" t="inlineStr">
        <is>
          <t>1 ф М / 2 ф М</t>
        </is>
      </c>
      <c r="H38" s="104" t="inlineStr">
        <is>
          <t>1 эт.: Костеро, Линия 40, Линия 72, Логос, Логос мини, Арбор, Баня | 2 эт.: Палаццо, Эдем, Вилла Маре</t>
        </is>
      </c>
      <c r="I38" s="99" t="n"/>
      <c r="J38" s="100">
        <f t="array" ref="J38">IF(I38&lt;&gt;"",ROUND(INDEX('Каталог'!$F:$F,MATCH(I38,'Каталог'!$A:$A,0))/'Прайс'!$B$4,0),IFERROR(VLOOKUP(D38,'Прайс'!$A$7:$B$9,2,FALSE),'Прайс'!$B$2))</f>
        <v/>
      </c>
      <c r="K38" s="100">
        <f>IF(AND(C38&gt;0,J38&gt;0,E38&lt;&gt;"Продано"),ROUND(C38*J38,0),"")</f>
        <v/>
      </c>
      <c r="L38" s="100">
        <f>IF(AND(F38="Да",C38&gt;0,E38&lt;&gt;"Продано"),ROUND(C38*'Прайс'!$B$3,0),0)</f>
        <v/>
      </c>
      <c r="M38" s="100">
        <f t="array" ref="M38">IF(I38&lt;&gt;"",INDEX('Каталог'!$F:$F,MATCH(I38,'Каталог'!$A:$A,0)),"")</f>
        <v/>
      </c>
      <c r="N38" s="100">
        <f>IF(AND(E38&lt;&gt;"Продано",OR(K38&gt;0,M38&gt;0)),IFERROR(K38,0)+IFERROR(M38,0)+IFERROR(L38,0),"")</f>
        <v/>
      </c>
    </row>
    <row r="39" ht="15.75" customHeight="1" s="163">
      <c r="A39" s="99" t="n">
        <v>1578</v>
      </c>
      <c r="B39" s="99" t="inlineStr">
        <is>
          <t>Айвазовского</t>
        </is>
      </c>
      <c r="C39" s="99" t="n"/>
      <c r="D39" s="99" t="inlineStr">
        <is>
          <t>Вид на море</t>
        </is>
      </c>
      <c r="E39" s="99" t="inlineStr">
        <is>
          <t>Свободно</t>
        </is>
      </c>
      <c r="F39" s="99" t="inlineStr">
        <is>
          <t>Нет</t>
        </is>
      </c>
      <c r="G39" s="99" t="inlineStr">
        <is>
          <t>1 ф М / 2 ф М</t>
        </is>
      </c>
      <c r="H39" s="104" t="inlineStr">
        <is>
          <t>1 эт.: Костеро, Линия 40, Линия 72, Логос, Логос мини, Арбор, Баня | 2 эт.: Палаццо, Эдем, Вилла Маре</t>
        </is>
      </c>
      <c r="I39" s="99" t="n"/>
      <c r="J39" s="100">
        <f t="array" ref="J39">IF(I39&lt;&gt;"",ROUND(INDEX('Каталог'!$F:$F,MATCH(I39,'Каталог'!$A:$A,0))/'Прайс'!$B$4,0),IFERROR(VLOOKUP(D39,'Прайс'!$A$7:$B$9,2,FALSE),'Прайс'!$B$2))</f>
        <v/>
      </c>
      <c r="K39" s="100">
        <f>IF(AND(C39&gt;0,J39&gt;0,E39&lt;&gt;"Продано"),ROUND(C39*J39,0),"")</f>
        <v/>
      </c>
      <c r="L39" s="100">
        <f>IF(AND(F39="Да",C39&gt;0,E39&lt;&gt;"Продано"),ROUND(C39*'Прайс'!$B$3,0),0)</f>
        <v/>
      </c>
      <c r="M39" s="100">
        <f t="array" ref="M39">IF(I39&lt;&gt;"",INDEX('Каталог'!$F:$F,MATCH(I39,'Каталог'!$A:$A,0)),"")</f>
        <v/>
      </c>
      <c r="N39" s="100">
        <f>IF(AND(E39&lt;&gt;"Продано",OR(K39&gt;0,M39&gt;0)),IFERROR(K39,0)+IFERROR(M39,0)+IFERROR(L39,0),"")</f>
        <v/>
      </c>
    </row>
    <row r="40" ht="15.75" customHeight="1" s="163">
      <c r="A40" s="99" t="n">
        <v>1579</v>
      </c>
      <c r="B40" s="99" t="inlineStr">
        <is>
          <t>Айвазовского</t>
        </is>
      </c>
      <c r="C40" s="99" t="n"/>
      <c r="D40" s="99" t="inlineStr">
        <is>
          <t>Вид на море</t>
        </is>
      </c>
      <c r="E40" s="99" t="inlineStr">
        <is>
          <t>Свободно</t>
        </is>
      </c>
      <c r="F40" s="99" t="inlineStr">
        <is>
          <t>Нет</t>
        </is>
      </c>
      <c r="G40" s="99" t="inlineStr">
        <is>
          <t>1 ф М / 2 ф М</t>
        </is>
      </c>
      <c r="H40" s="104" t="inlineStr">
        <is>
          <t>1 эт.: Костеро, Линия 40, Линия 72, Логос, Логос мини, Арбор, Баня | 2 эт.: Палаццо, Эдем, Вилла Маре</t>
        </is>
      </c>
      <c r="I40" s="99" t="n"/>
      <c r="J40" s="100">
        <f t="array" ref="J40">IF(I40&lt;&gt;"",ROUND(INDEX('Каталог'!$F:$F,MATCH(I40,'Каталог'!$A:$A,0))/'Прайс'!$B$4,0),IFERROR(VLOOKUP(D40,'Прайс'!$A$7:$B$9,2,FALSE),'Прайс'!$B$2))</f>
        <v/>
      </c>
      <c r="K40" s="100">
        <f>IF(AND(C40&gt;0,J40&gt;0,E40&lt;&gt;"Продано"),ROUND(C40*J40,0),"")</f>
        <v/>
      </c>
      <c r="L40" s="100">
        <f>IF(AND(F40="Да",C40&gt;0,E40&lt;&gt;"Продано"),ROUND(C40*'Прайс'!$B$3,0),0)</f>
        <v/>
      </c>
      <c r="M40" s="100">
        <f t="array" ref="M40">IF(I40&lt;&gt;"",INDEX('Каталог'!$F:$F,MATCH(I40,'Каталог'!$A:$A,0)),"")</f>
        <v/>
      </c>
      <c r="N40" s="100">
        <f>IF(AND(E40&lt;&gt;"Продано",OR(K40&gt;0,M40&gt;0)),IFERROR(K40,0)+IFERROR(M40,0)+IFERROR(L40,0),"")</f>
        <v/>
      </c>
    </row>
    <row r="41" ht="15.75" customHeight="1" s="163">
      <c r="A41" s="99" t="n">
        <v>1580</v>
      </c>
      <c r="B41" s="99" t="inlineStr">
        <is>
          <t>Айвазовского</t>
        </is>
      </c>
      <c r="C41" s="99" t="n"/>
      <c r="D41" s="99" t="inlineStr">
        <is>
          <t>Вид на море</t>
        </is>
      </c>
      <c r="E41" s="99" t="inlineStr">
        <is>
          <t>Свободно</t>
        </is>
      </c>
      <c r="F41" s="99" t="inlineStr">
        <is>
          <t>Нет</t>
        </is>
      </c>
      <c r="G41" s="99" t="inlineStr">
        <is>
          <t>1 ф М / 2 ф М</t>
        </is>
      </c>
      <c r="H41" s="104" t="inlineStr">
        <is>
          <t>1 эт.: Костеро, Линия 40, Линия 72, Логос, Логос мини, Арбор, Баня | 2 эт.: Палаццо, Эдем, Вилла Маре</t>
        </is>
      </c>
      <c r="I41" s="99" t="n"/>
      <c r="J41" s="100">
        <f t="array" ref="J41">IF(I41&lt;&gt;"",ROUND(INDEX('Каталог'!$F:$F,MATCH(I41,'Каталог'!$A:$A,0))/'Прайс'!$B$4,0),IFERROR(VLOOKUP(D41,'Прайс'!$A$7:$B$9,2,FALSE),'Прайс'!$B$2))</f>
        <v/>
      </c>
      <c r="K41" s="100">
        <f>IF(AND(C41&gt;0,J41&gt;0,E41&lt;&gt;"Продано"),ROUND(C41*J41,0),"")</f>
        <v/>
      </c>
      <c r="L41" s="100">
        <f>IF(AND(F41="Да",C41&gt;0,E41&lt;&gt;"Продано"),ROUND(C41*'Прайс'!$B$3,0),0)</f>
        <v/>
      </c>
      <c r="M41" s="100">
        <f t="array" ref="M41">IF(I41&lt;&gt;"",INDEX('Каталог'!$F:$F,MATCH(I41,'Каталог'!$A:$A,0)),"")</f>
        <v/>
      </c>
      <c r="N41" s="100">
        <f>IF(AND(E41&lt;&gt;"Продано",OR(K41&gt;0,M41&gt;0)),IFERROR(K41,0)+IFERROR(M41,0)+IFERROR(L41,0),"")</f>
        <v/>
      </c>
    </row>
    <row r="42" ht="15.75" customHeight="1" s="163">
      <c r="A42" s="99" t="n">
        <v>1581</v>
      </c>
      <c r="B42" s="99" t="inlineStr">
        <is>
          <t>Айвазовского</t>
        </is>
      </c>
      <c r="C42" s="99" t="n"/>
      <c r="D42" s="99" t="inlineStr">
        <is>
          <t>Вид на море</t>
        </is>
      </c>
      <c r="E42" s="99" t="inlineStr">
        <is>
          <t>Свободно</t>
        </is>
      </c>
      <c r="F42" s="99" t="inlineStr">
        <is>
          <t>Нет</t>
        </is>
      </c>
      <c r="G42" s="99" t="inlineStr">
        <is>
          <t>1 ф М / 2 ф М</t>
        </is>
      </c>
      <c r="H42" s="104" t="inlineStr">
        <is>
          <t>1 эт.: Костеро, Линия 40, Линия 72, Логос, Логос мини, Арбор, Баня | 2 эт.: Палаццо, Эдем, Вилла Маре</t>
        </is>
      </c>
      <c r="I42" s="99" t="n"/>
      <c r="J42" s="100">
        <f t="array" ref="J42">IF(I42&lt;&gt;"",ROUND(INDEX('Каталог'!$F:$F,MATCH(I42,'Каталог'!$A:$A,0))/'Прайс'!$B$4,0),IFERROR(VLOOKUP(D42,'Прайс'!$A$7:$B$9,2,FALSE),'Прайс'!$B$2))</f>
        <v/>
      </c>
      <c r="K42" s="100">
        <f>IF(AND(C42&gt;0,J42&gt;0,E42&lt;&gt;"Продано"),ROUND(C42*J42,0),"")</f>
        <v/>
      </c>
      <c r="L42" s="100">
        <f>IF(AND(F42="Да",C42&gt;0,E42&lt;&gt;"Продано"),ROUND(C42*'Прайс'!$B$3,0),0)</f>
        <v/>
      </c>
      <c r="M42" s="100">
        <f t="array" ref="M42">IF(I42&lt;&gt;"",INDEX('Каталог'!$F:$F,MATCH(I42,'Каталог'!$A:$A,0)),"")</f>
        <v/>
      </c>
      <c r="N42" s="100">
        <f>IF(AND(E42&lt;&gt;"Продано",OR(K42&gt;0,M42&gt;0)),IFERROR(K42,0)+IFERROR(M42,0)+IFERROR(L42,0),"")</f>
        <v/>
      </c>
    </row>
    <row r="43" ht="15.75" customHeight="1" s="163">
      <c r="A43" s="99" t="n">
        <v>1582</v>
      </c>
      <c r="B43" s="99" t="inlineStr">
        <is>
          <t>Айвазовского</t>
        </is>
      </c>
      <c r="C43" s="99" t="n">
        <v>500</v>
      </c>
      <c r="D43" s="99" t="inlineStr">
        <is>
          <t>Виноградники / лиман / вулканы</t>
        </is>
      </c>
      <c r="E43" s="99" t="inlineStr">
        <is>
          <t>Свободно</t>
        </is>
      </c>
      <c r="F43" s="99" t="inlineStr">
        <is>
          <t>Нет</t>
        </is>
      </c>
      <c r="G43" s="99" t="inlineStr">
        <is>
          <t>1 ф ВЛВ / 2 ф ВЛВ</t>
        </is>
      </c>
      <c r="H43" s="104" t="inlineStr">
        <is>
          <t>1 эт.: Костеро, Линия 40, Линия 72, Логос, Логос мини, Арбор, Баня | 2 эт.: Палаццо, Эдем, Вилла Маре</t>
        </is>
      </c>
      <c r="I43" s="99" t="n"/>
      <c r="J43" s="100">
        <f t="array" ref="J43">IF(I43&lt;&gt;"",ROUND(INDEX('Каталог'!$F:$F,MATCH(I43,'Каталог'!$A:$A,0))/'Прайс'!$B$4,0),IFERROR(VLOOKUP(D43,'Прайс'!$A$7:$B$9,2,FALSE),'Прайс'!$B$2))</f>
        <v/>
      </c>
      <c r="K43" s="100">
        <f>IF(AND(C43&gt;0,J43&gt;0,E43&lt;&gt;"Продано"),ROUND(C43*J43,0),"")</f>
        <v/>
      </c>
      <c r="L43" s="100">
        <f>IF(AND(F43="Да",C43&gt;0,E43&lt;&gt;"Продано"),ROUND(C43*'Прайс'!$B$3,0),0)</f>
        <v/>
      </c>
      <c r="M43" s="100">
        <f t="array" ref="M43">IF(I43&lt;&gt;"",INDEX('Каталог'!$F:$F,MATCH(I43,'Каталог'!$A:$A,0)),"")</f>
        <v/>
      </c>
      <c r="N43" s="100">
        <f>IF(AND(E43&lt;&gt;"Продано",OR(K43&gt;0,M43&gt;0)),IFERROR(K43,0)+IFERROR(M43,0)+IFERROR(L43,0),"")</f>
        <v/>
      </c>
    </row>
    <row r="44" ht="15.75" customHeight="1" s="163">
      <c r="A44" s="99" t="n">
        <v>1583</v>
      </c>
      <c r="B44" s="99" t="inlineStr">
        <is>
          <t>Айвазовского</t>
        </is>
      </c>
      <c r="C44" s="99" t="n">
        <v>500</v>
      </c>
      <c r="D44" s="99" t="inlineStr">
        <is>
          <t>Виноградники / лиман / вулканы</t>
        </is>
      </c>
      <c r="E44" s="99" t="inlineStr">
        <is>
          <t>Свободно</t>
        </is>
      </c>
      <c r="F44" s="99" t="inlineStr">
        <is>
          <t>Нет</t>
        </is>
      </c>
      <c r="G44" s="99" t="inlineStr">
        <is>
          <t>1 ф ВЛВ / 2 ф ВЛВ</t>
        </is>
      </c>
      <c r="H44" s="104" t="inlineStr">
        <is>
          <t>1 эт.: Костеро, Линия 40, Линия 72, Логос, Логос мини, Арбор, Баня | 2 эт.: Палаццо, Эдем, Вилла Маре</t>
        </is>
      </c>
      <c r="I44" s="99" t="n"/>
      <c r="J44" s="100">
        <f t="array" ref="J44">IF(I44&lt;&gt;"",ROUND(INDEX('Каталог'!$F:$F,MATCH(I44,'Каталог'!$A:$A,0))/'Прайс'!$B$4,0),IFERROR(VLOOKUP(D44,'Прайс'!$A$7:$B$9,2,FALSE),'Прайс'!$B$2))</f>
        <v/>
      </c>
      <c r="K44" s="100">
        <f>IF(AND(C44&gt;0,J44&gt;0,E44&lt;&gt;"Продано"),ROUND(C44*J44,0),"")</f>
        <v/>
      </c>
      <c r="L44" s="100">
        <f>IF(AND(F44="Да",C44&gt;0,E44&lt;&gt;"Продано"),ROUND(C44*'Прайс'!$B$3,0),0)</f>
        <v/>
      </c>
      <c r="M44" s="100">
        <f t="array" ref="M44">IF(I44&lt;&gt;"",INDEX('Каталог'!$F:$F,MATCH(I44,'Каталог'!$A:$A,0)),"")</f>
        <v/>
      </c>
      <c r="N44" s="100">
        <f>IF(AND(E44&lt;&gt;"Продано",OR(K44&gt;0,M44&gt;0)),IFERROR(K44,0)+IFERROR(M44,0)+IFERROR(L44,0),"")</f>
        <v/>
      </c>
    </row>
    <row r="45" ht="15.75" customHeight="1" s="163">
      <c r="A45" s="99" t="n">
        <v>1584</v>
      </c>
      <c r="B45" s="99" t="inlineStr">
        <is>
          <t>Айвазовского</t>
        </is>
      </c>
      <c r="C45" s="99" t="n">
        <v>500</v>
      </c>
      <c r="D45" s="99" t="inlineStr">
        <is>
          <t>Виноградники / лиман / вулканы</t>
        </is>
      </c>
      <c r="E45" s="99" t="inlineStr">
        <is>
          <t>Свободно</t>
        </is>
      </c>
      <c r="F45" s="99" t="inlineStr">
        <is>
          <t>Нет</t>
        </is>
      </c>
      <c r="G45" s="99" t="inlineStr">
        <is>
          <t>1 ф ВЛВ / 2 ф ВЛВ</t>
        </is>
      </c>
      <c r="H45" s="104" t="inlineStr">
        <is>
          <t>1 эт.: Костеро, Линия 40, Линия 72, Логос, Логос мини, Арбор, Баня | 2 эт.: Палаццо, Эдем, Вилла Маре</t>
        </is>
      </c>
      <c r="I45" s="99" t="n"/>
      <c r="J45" s="100">
        <f t="array" ref="J45">IF(I45&lt;&gt;"",ROUND(INDEX('Каталог'!$F:$F,MATCH(I45,'Каталог'!$A:$A,0))/'Прайс'!$B$4,0),IFERROR(VLOOKUP(D45,'Прайс'!$A$7:$B$9,2,FALSE),'Прайс'!$B$2))</f>
        <v/>
      </c>
      <c r="K45" s="100">
        <f>IF(AND(C45&gt;0,J45&gt;0,E45&lt;&gt;"Продано"),ROUND(C45*J45,0),"")</f>
        <v/>
      </c>
      <c r="L45" s="100">
        <f>IF(AND(F45="Да",C45&gt;0,E45&lt;&gt;"Продано"),ROUND(C45*'Прайс'!$B$3,0),0)</f>
        <v/>
      </c>
      <c r="M45" s="100">
        <f t="array" ref="M45">IF(I45&lt;&gt;"",INDEX('Каталог'!$F:$F,MATCH(I45,'Каталог'!$A:$A,0)),"")</f>
        <v/>
      </c>
      <c r="N45" s="100">
        <f>IF(AND(E45&lt;&gt;"Продано",OR(K45&gt;0,M45&gt;0)),IFERROR(K45,0)+IFERROR(M45,0)+IFERROR(L45,0),"")</f>
        <v/>
      </c>
    </row>
    <row r="46" ht="15.75" customHeight="1" s="163">
      <c r="A46" s="99" t="n">
        <v>1585</v>
      </c>
      <c r="B46" s="99" t="inlineStr">
        <is>
          <t>Айвазовского</t>
        </is>
      </c>
      <c r="C46" s="99" t="n">
        <v>500</v>
      </c>
      <c r="D46" s="99" t="inlineStr">
        <is>
          <t>Виноградники / лиман / вулканы</t>
        </is>
      </c>
      <c r="E46" s="99" t="inlineStr">
        <is>
          <t>Свободно</t>
        </is>
      </c>
      <c r="F46" s="99" t="inlineStr">
        <is>
          <t>Нет</t>
        </is>
      </c>
      <c r="G46" s="99" t="inlineStr">
        <is>
          <t>1 ф ВЛВ / 2 ф ВЛВ</t>
        </is>
      </c>
      <c r="H46" s="104" t="inlineStr">
        <is>
          <t>1 эт.: Костеро, Линия 40, Линия 72, Логос, Логос мини, Арбор, Баня | 2 эт.: Палаццо, Эдем, Вилла Маре</t>
        </is>
      </c>
      <c r="I46" s="99" t="n"/>
      <c r="J46" s="100">
        <f t="array" ref="J46">IF(I46&lt;&gt;"",ROUND(INDEX('Каталог'!$F:$F,MATCH(I46,'Каталог'!$A:$A,0))/'Прайс'!$B$4,0),IFERROR(VLOOKUP(D46,'Прайс'!$A$7:$B$9,2,FALSE),'Прайс'!$B$2))</f>
        <v/>
      </c>
      <c r="K46" s="100">
        <f>IF(AND(C46&gt;0,J46&gt;0,E46&lt;&gt;"Продано"),ROUND(C46*J46,0),"")</f>
        <v/>
      </c>
      <c r="L46" s="100">
        <f>IF(AND(F46="Да",C46&gt;0,E46&lt;&gt;"Продано"),ROUND(C46*'Прайс'!$B$3,0),0)</f>
        <v/>
      </c>
      <c r="M46" s="100">
        <f t="array" ref="M46">IF(I46&lt;&gt;"",INDEX('Каталог'!$F:$F,MATCH(I46,'Каталог'!$A:$A,0)),"")</f>
        <v/>
      </c>
      <c r="N46" s="100">
        <f>IF(AND(E46&lt;&gt;"Продано",OR(K46&gt;0,M46&gt;0)),IFERROR(K46,0)+IFERROR(M46,0)+IFERROR(L46,0),"")</f>
        <v/>
      </c>
    </row>
    <row r="47" ht="15.75" customHeight="1" s="163">
      <c r="A47" s="99" t="n">
        <v>1586</v>
      </c>
      <c r="B47" s="99" t="inlineStr">
        <is>
          <t>Айвазовского</t>
        </is>
      </c>
      <c r="C47" s="99" t="n">
        <v>500</v>
      </c>
      <c r="D47" s="99" t="inlineStr">
        <is>
          <t>Виноградники / лиман / вулканы</t>
        </is>
      </c>
      <c r="E47" s="99" t="inlineStr">
        <is>
          <t>Свободно</t>
        </is>
      </c>
      <c r="F47" s="99" t="inlineStr">
        <is>
          <t>Нет</t>
        </is>
      </c>
      <c r="G47" s="99" t="inlineStr">
        <is>
          <t>1 ф ВЛВ / 2 ф ВЛВ</t>
        </is>
      </c>
      <c r="H47" s="104" t="inlineStr">
        <is>
          <t>1 эт.: Костеро, Линия 40, Линия 72, Логос, Логос мини, Арбор, Баня | 2 эт.: Палаццо, Эдем, Вилла Маре</t>
        </is>
      </c>
      <c r="I47" s="99" t="n"/>
      <c r="J47" s="100">
        <f t="array" ref="J47">IF(I47&lt;&gt;"",ROUND(INDEX('Каталог'!$F:$F,MATCH(I47,'Каталог'!$A:$A,0))/'Прайс'!$B$4,0),IFERROR(VLOOKUP(D47,'Прайс'!$A$7:$B$9,2,FALSE),'Прайс'!$B$2))</f>
        <v/>
      </c>
      <c r="K47" s="100">
        <f>IF(AND(C47&gt;0,J47&gt;0,E47&lt;&gt;"Продано"),ROUND(C47*J47,0),"")</f>
        <v/>
      </c>
      <c r="L47" s="100">
        <f>IF(AND(F47="Да",C47&gt;0,E47&lt;&gt;"Продано"),ROUND(C47*'Прайс'!$B$3,0),0)</f>
        <v/>
      </c>
      <c r="M47" s="100">
        <f t="array" ref="M47">IF(I47&lt;&gt;"",INDEX('Каталог'!$F:$F,MATCH(I47,'Каталог'!$A:$A,0)),"")</f>
        <v/>
      </c>
      <c r="N47" s="100">
        <f>IF(AND(E47&lt;&gt;"Продано",OR(K47&gt;0,M47&gt;0)),IFERROR(K47,0)+IFERROR(M47,0)+IFERROR(L47,0),"")</f>
        <v/>
      </c>
    </row>
    <row r="48" ht="15.75" customHeight="1" s="163">
      <c r="A48" s="99" t="n">
        <v>1587</v>
      </c>
      <c r="B48" s="99" t="inlineStr">
        <is>
          <t>Айвазовского</t>
        </is>
      </c>
      <c r="C48" s="99" t="n">
        <v>500</v>
      </c>
      <c r="D48" s="99" t="inlineStr">
        <is>
          <t>Виноградники / лиман / вулканы</t>
        </is>
      </c>
      <c r="E48" s="99" t="inlineStr">
        <is>
          <t>Свободно</t>
        </is>
      </c>
      <c r="F48" s="99" t="inlineStr">
        <is>
          <t>Нет</t>
        </is>
      </c>
      <c r="G48" s="99" t="inlineStr">
        <is>
          <t>1 ф ВЛВ / 2 ф ВЛВ</t>
        </is>
      </c>
      <c r="H48" s="104" t="inlineStr">
        <is>
          <t>1 эт.: Костеро, Линия 40, Линия 72, Логос, Логос мини, Арбор, Баня | 2 эт.: Палаццо, Эдем, Вилла Маре</t>
        </is>
      </c>
      <c r="I48" s="99" t="n"/>
      <c r="J48" s="100">
        <f t="array" ref="J48">IF(I48&lt;&gt;"",ROUND(INDEX('Каталог'!$F:$F,MATCH(I48,'Каталог'!$A:$A,0))/'Прайс'!$B$4,0),IFERROR(VLOOKUP(D48,'Прайс'!$A$7:$B$9,2,FALSE),'Прайс'!$B$2))</f>
        <v/>
      </c>
      <c r="K48" s="100">
        <f>IF(AND(C48&gt;0,J48&gt;0,E48&lt;&gt;"Продано"),ROUND(C48*J48,0),"")</f>
        <v/>
      </c>
      <c r="L48" s="100">
        <f>IF(AND(F48="Да",C48&gt;0,E48&lt;&gt;"Продано"),ROUND(C48*'Прайс'!$B$3,0),0)</f>
        <v/>
      </c>
      <c r="M48" s="100">
        <f t="array" ref="M48">IF(I48&lt;&gt;"",INDEX('Каталог'!$F:$F,MATCH(I48,'Каталог'!$A:$A,0)),"")</f>
        <v/>
      </c>
      <c r="N48" s="100">
        <f>IF(AND(E48&lt;&gt;"Продано",OR(K48&gt;0,M48&gt;0)),IFERROR(K48,0)+IFERROR(M48,0)+IFERROR(L48,0),"")</f>
        <v/>
      </c>
    </row>
    <row r="49" ht="15.75" customHeight="1" s="163">
      <c r="A49" s="99" t="n">
        <v>1588</v>
      </c>
      <c r="B49" s="99" t="inlineStr">
        <is>
          <t>Айвазовского</t>
        </is>
      </c>
      <c r="C49" s="99" t="n">
        <v>500</v>
      </c>
      <c r="D49" s="99" t="inlineStr">
        <is>
          <t>Виноградники / лиман / вулканы</t>
        </is>
      </c>
      <c r="E49" s="99" t="inlineStr">
        <is>
          <t>Свободно</t>
        </is>
      </c>
      <c r="F49" s="99" t="inlineStr">
        <is>
          <t>Нет</t>
        </is>
      </c>
      <c r="G49" s="99" t="inlineStr">
        <is>
          <t>1 ф ВЛВ / 2 ф ВЛВ</t>
        </is>
      </c>
      <c r="H49" s="104" t="inlineStr">
        <is>
          <t>1 эт.: Костеро, Линия 40, Линия 72, Логос, Логос мини, Арбор, Баня | 2 эт.: Палаццо, Эдем, Вилла Маре</t>
        </is>
      </c>
      <c r="I49" s="99" t="n"/>
      <c r="J49" s="100">
        <f t="array" ref="J49">IF(I49&lt;&gt;"",ROUND(INDEX('Каталог'!$F:$F,MATCH(I49,'Каталог'!$A:$A,0))/'Прайс'!$B$4,0),IFERROR(VLOOKUP(D49,'Прайс'!$A$7:$B$9,2,FALSE),'Прайс'!$B$2))</f>
        <v/>
      </c>
      <c r="K49" s="100">
        <f>IF(AND(C49&gt;0,J49&gt;0,E49&lt;&gt;"Продано"),ROUND(C49*J49,0),"")</f>
        <v/>
      </c>
      <c r="L49" s="100">
        <f>IF(AND(F49="Да",C49&gt;0,E49&lt;&gt;"Продано"),ROUND(C49*'Прайс'!$B$3,0),0)</f>
        <v/>
      </c>
      <c r="M49" s="100">
        <f t="array" ref="M49">IF(I49&lt;&gt;"",INDEX('Каталог'!$F:$F,MATCH(I49,'Каталог'!$A:$A,0)),"")</f>
        <v/>
      </c>
      <c r="N49" s="100">
        <f>IF(AND(E49&lt;&gt;"Продано",OR(K49&gt;0,M49&gt;0)),IFERROR(K49,0)+IFERROR(M49,0)+IFERROR(L49,0),"")</f>
        <v/>
      </c>
    </row>
    <row r="50" ht="15.75" customHeight="1" s="163">
      <c r="A50" s="99" t="n">
        <v>1589</v>
      </c>
      <c r="B50" s="99" t="inlineStr">
        <is>
          <t>Айвазовского</t>
        </is>
      </c>
      <c r="C50" s="99" t="n">
        <v>717</v>
      </c>
      <c r="D50" s="99" t="inlineStr">
        <is>
          <t>Виноградники / лиман / вулканы</t>
        </is>
      </c>
      <c r="E50" s="99" t="inlineStr">
        <is>
          <t>Свободно</t>
        </is>
      </c>
      <c r="F50" s="99" t="inlineStr">
        <is>
          <t>Да</t>
        </is>
      </c>
      <c r="G50" s="99" t="inlineStr">
        <is>
          <t>1 ф ВЛВ / 2 ф ВЛВ</t>
        </is>
      </c>
      <c r="H50" s="104" t="inlineStr">
        <is>
          <t>1 эт.: Костеро, Линия 40, Линия 72, Логос, Логос мини, Арбор, Баня | 2 эт.: Палаццо, Эдем, Вилла Маре</t>
        </is>
      </c>
      <c r="I50" s="99" t="n"/>
      <c r="J50" s="100">
        <f t="array" ref="J50">IF(I50&lt;&gt;"",ROUND(INDEX('Каталог'!$F:$F,MATCH(I50,'Каталог'!$A:$A,0))/'Прайс'!$B$4,0),IFERROR(VLOOKUP(D50,'Прайс'!$A$7:$B$9,2,FALSE),'Прайс'!$B$2))</f>
        <v/>
      </c>
      <c r="K50" s="100">
        <f>IF(AND(C50&gt;0,J50&gt;0,E50&lt;&gt;"Продано"),ROUND(C50*J50,0),"")</f>
        <v/>
      </c>
      <c r="L50" s="100">
        <f>IF(AND(F50="Да",C50&gt;0,E50&lt;&gt;"Продано"),ROUND(C50*'Прайс'!$B$3,0),0)</f>
        <v/>
      </c>
      <c r="M50" s="100">
        <f t="array" ref="M50">IF(I50&lt;&gt;"",INDEX('Каталог'!$F:$F,MATCH(I50,'Каталог'!$A:$A,0)),"")</f>
        <v/>
      </c>
      <c r="N50" s="100">
        <f>IF(AND(E50&lt;&gt;"Продано",OR(K50&gt;0,M50&gt;0)),IFERROR(K50,0)+IFERROR(M50,0)+IFERROR(L50,0),"")</f>
        <v/>
      </c>
    </row>
    <row r="51" ht="15.75" customHeight="1" s="163">
      <c r="A51" s="99" t="n">
        <v>1590</v>
      </c>
      <c r="B51" s="99" t="inlineStr">
        <is>
          <t>Айвазовского</t>
        </is>
      </c>
      <c r="C51" s="99" t="n">
        <v>675</v>
      </c>
      <c r="D51" s="99" t="inlineStr">
        <is>
          <t>Виноградники / лиман / вулканы</t>
        </is>
      </c>
      <c r="E51" s="99" t="inlineStr">
        <is>
          <t>Свободно</t>
        </is>
      </c>
      <c r="F51" s="99" t="inlineStr">
        <is>
          <t>Да</t>
        </is>
      </c>
      <c r="G51" s="99" t="inlineStr">
        <is>
          <t>1 ф ВЛВ / 2 ф ВЛВ</t>
        </is>
      </c>
      <c r="H51" s="104" t="inlineStr">
        <is>
          <t>1 эт.: Костеро, Линия 40, Линия 72, Логос, Логос мини, Арбор, Баня | 2 эт.: Палаццо, Эдем, Вилла Маре</t>
        </is>
      </c>
      <c r="I51" s="99" t="n"/>
      <c r="J51" s="100">
        <f t="array" ref="J51">IF(I51&lt;&gt;"",ROUND(INDEX('Каталог'!$F:$F,MATCH(I51,'Каталог'!$A:$A,0))/'Прайс'!$B$4,0),IFERROR(VLOOKUP(D51,'Прайс'!$A$7:$B$9,2,FALSE),'Прайс'!$B$2))</f>
        <v/>
      </c>
      <c r="K51" s="100">
        <f>IF(AND(C51&gt;0,J51&gt;0,E51&lt;&gt;"Продано"),ROUND(C51*J51,0),"")</f>
        <v/>
      </c>
      <c r="L51" s="100">
        <f>IF(AND(F51="Да",C51&gt;0,E51&lt;&gt;"Продано"),ROUND(C51*'Прайс'!$B$3,0),0)</f>
        <v/>
      </c>
      <c r="M51" s="100">
        <f t="array" ref="M51">IF(I51&lt;&gt;"",INDEX('Каталог'!$F:$F,MATCH(I51,'Каталог'!$A:$A,0)),"")</f>
        <v/>
      </c>
      <c r="N51" s="100">
        <f>IF(AND(E51&lt;&gt;"Продано",OR(K51&gt;0,M51&gt;0)),IFERROR(K51,0)+IFERROR(M51,0)+IFERROR(L51,0),"")</f>
        <v/>
      </c>
    </row>
    <row r="52" ht="15.75" customHeight="1" s="163">
      <c r="A52" s="99" t="n">
        <v>1591</v>
      </c>
      <c r="B52" s="99" t="inlineStr">
        <is>
          <t>Айвазовского</t>
        </is>
      </c>
      <c r="C52" s="99" t="n"/>
      <c r="D52" s="99" t="inlineStr">
        <is>
          <t>Виноградники / лиман / вулканы</t>
        </is>
      </c>
      <c r="E52" s="99" t="inlineStr">
        <is>
          <t>Свободно</t>
        </is>
      </c>
      <c r="F52" s="99" t="inlineStr">
        <is>
          <t>Нет</t>
        </is>
      </c>
      <c r="G52" s="99" t="inlineStr">
        <is>
          <t>1 ф ВЛВ / 2 ф ВЛВ</t>
        </is>
      </c>
      <c r="H52" s="104" t="inlineStr">
        <is>
          <t>1 эт.: Костеро, Линия 40, Линия 72, Логос, Логос мини, Арбор, Баня | 2 эт.: Палаццо, Эдем, Вилла Маре</t>
        </is>
      </c>
      <c r="I52" s="99" t="n"/>
      <c r="J52" s="100">
        <f t="array" ref="J52">IF(I52&lt;&gt;"",ROUND(INDEX('Каталог'!$F:$F,MATCH(I52,'Каталог'!$A:$A,0))/'Прайс'!$B$4,0),IFERROR(VLOOKUP(D52,'Прайс'!$A$7:$B$9,2,FALSE),'Прайс'!$B$2))</f>
        <v/>
      </c>
      <c r="K52" s="100">
        <f>IF(AND(C52&gt;0,J52&gt;0,E52&lt;&gt;"Продано"),ROUND(C52*J52,0),"")</f>
        <v/>
      </c>
      <c r="L52" s="100">
        <f>IF(AND(F52="Да",C52&gt;0,E52&lt;&gt;"Продано"),ROUND(C52*'Прайс'!$B$3,0),0)</f>
        <v/>
      </c>
      <c r="M52" s="100">
        <f t="array" ref="M52">IF(I52&lt;&gt;"",INDEX('Каталог'!$F:$F,MATCH(I52,'Каталог'!$A:$A,0)),"")</f>
        <v/>
      </c>
      <c r="N52" s="100">
        <f>IF(AND(E52&lt;&gt;"Продано",OR(K52&gt;0,M52&gt;0)),IFERROR(K52,0)+IFERROR(M52,0)+IFERROR(L52,0),"")</f>
        <v/>
      </c>
    </row>
    <row r="53" ht="15.75" customHeight="1" s="163">
      <c r="A53" s="99" t="n">
        <v>1592</v>
      </c>
      <c r="B53" s="99" t="inlineStr">
        <is>
          <t>Айвазовского</t>
        </is>
      </c>
      <c r="C53" s="99" t="n"/>
      <c r="D53" s="99" t="inlineStr">
        <is>
          <t>Виноградники / лиман / вулканы</t>
        </is>
      </c>
      <c r="E53" s="99" t="inlineStr">
        <is>
          <t>Свободно</t>
        </is>
      </c>
      <c r="F53" s="99" t="inlineStr">
        <is>
          <t>Нет</t>
        </is>
      </c>
      <c r="G53" s="99" t="inlineStr">
        <is>
          <t>1 ф ВЛВ / 2 ф ВЛВ</t>
        </is>
      </c>
      <c r="H53" s="104" t="inlineStr">
        <is>
          <t>1 эт.: Костеро, Линия 40, Линия 72, Логос, Логос мини, Арбор, Баня | 2 эт.: Палаццо, Эдем, Вилла Маре</t>
        </is>
      </c>
      <c r="I53" s="99" t="n"/>
      <c r="J53" s="100">
        <f t="array" ref="J53">IF(I53&lt;&gt;"",ROUND(INDEX('Каталог'!$F:$F,MATCH(I53,'Каталог'!$A:$A,0))/'Прайс'!$B$4,0),IFERROR(VLOOKUP(D53,'Прайс'!$A$7:$B$9,2,FALSE),'Прайс'!$B$2))</f>
        <v/>
      </c>
      <c r="K53" s="100">
        <f>IF(AND(C53&gt;0,J53&gt;0,E53&lt;&gt;"Продано"),ROUND(C53*J53,0),"")</f>
        <v/>
      </c>
      <c r="L53" s="100">
        <f>IF(AND(F53="Да",C53&gt;0,E53&lt;&gt;"Продано"),ROUND(C53*'Прайс'!$B$3,0),0)</f>
        <v/>
      </c>
      <c r="M53" s="100">
        <f t="array" ref="M53">IF(I53&lt;&gt;"",INDEX('Каталог'!$F:$F,MATCH(I53,'Каталог'!$A:$A,0)),"")</f>
        <v/>
      </c>
      <c r="N53" s="100">
        <f>IF(AND(E53&lt;&gt;"Продано",OR(K53&gt;0,M53&gt;0)),IFERROR(K53,0)+IFERROR(M53,0)+IFERROR(L53,0),"")</f>
        <v/>
      </c>
    </row>
    <row r="54" ht="15.75" customHeight="1" s="163">
      <c r="A54" s="99" t="n">
        <v>1593</v>
      </c>
      <c r="B54" s="99" t="inlineStr">
        <is>
          <t>Айвазовского</t>
        </is>
      </c>
      <c r="C54" s="99" t="n"/>
      <c r="D54" s="99" t="inlineStr">
        <is>
          <t>Виноградники / лиман / вулканы</t>
        </is>
      </c>
      <c r="E54" s="99" t="inlineStr">
        <is>
          <t>Свободно</t>
        </is>
      </c>
      <c r="F54" s="99" t="inlineStr">
        <is>
          <t>Нет</t>
        </is>
      </c>
      <c r="G54" s="99" t="inlineStr">
        <is>
          <t>1 ф ВЛВ / 2 ф ВЛВ</t>
        </is>
      </c>
      <c r="H54" s="104" t="inlineStr">
        <is>
          <t>1 эт.: Костеро, Линия 40, Линия 72, Логос, Логос мини, Арбор, Баня | 2 эт.: Палаццо, Эдем, Вилла Маре</t>
        </is>
      </c>
      <c r="I54" s="99" t="n"/>
      <c r="J54" s="100">
        <f t="array" ref="J54">IF(I54&lt;&gt;"",ROUND(INDEX('Каталог'!$F:$F,MATCH(I54,'Каталог'!$A:$A,0))/'Прайс'!$B$4,0),IFERROR(VLOOKUP(D54,'Прайс'!$A$7:$B$9,2,FALSE),'Прайс'!$B$2))</f>
        <v/>
      </c>
      <c r="K54" s="100">
        <f>IF(AND(C54&gt;0,J54&gt;0,E54&lt;&gt;"Продано"),ROUND(C54*J54,0),"")</f>
        <v/>
      </c>
      <c r="L54" s="100">
        <f>IF(AND(F54="Да",C54&gt;0,E54&lt;&gt;"Продано"),ROUND(C54*'Прайс'!$B$3,0),0)</f>
        <v/>
      </c>
      <c r="M54" s="100">
        <f t="array" ref="M54">IF(I54&lt;&gt;"",INDEX('Каталог'!$F:$F,MATCH(I54,'Каталог'!$A:$A,0)),"")</f>
        <v/>
      </c>
      <c r="N54" s="100">
        <f>IF(AND(E54&lt;&gt;"Продано",OR(K54&gt;0,M54&gt;0)),IFERROR(K54,0)+IFERROR(M54,0)+IFERROR(L54,0),"")</f>
        <v/>
      </c>
    </row>
    <row r="55" ht="15.75" customHeight="1" s="163">
      <c r="A55" s="99" t="n">
        <v>1594</v>
      </c>
      <c r="B55" s="99" t="inlineStr">
        <is>
          <t>Айвазовского</t>
        </is>
      </c>
      <c r="C55" s="99" t="n"/>
      <c r="D55" s="99" t="inlineStr">
        <is>
          <t>Виноградники / лиман / вулканы</t>
        </is>
      </c>
      <c r="E55" s="99" t="inlineStr">
        <is>
          <t>Свободно</t>
        </is>
      </c>
      <c r="F55" s="99" t="inlineStr">
        <is>
          <t>Нет</t>
        </is>
      </c>
      <c r="G55" s="99" t="inlineStr">
        <is>
          <t>1 ф ВЛВ / 2 ф ВЛВ</t>
        </is>
      </c>
      <c r="H55" s="104" t="inlineStr">
        <is>
          <t>1 эт.: Костеро, Линия 40, Линия 72, Логос, Логос мини, Арбор, Баня | 2 эт.: Палаццо, Эдем, Вилла Маре</t>
        </is>
      </c>
      <c r="I55" s="99" t="n"/>
      <c r="J55" s="100">
        <f t="array" ref="J55">IF(I55&lt;&gt;"",ROUND(INDEX('Каталог'!$F:$F,MATCH(I55,'Каталог'!$A:$A,0))/'Прайс'!$B$4,0),IFERROR(VLOOKUP(D55,'Прайс'!$A$7:$B$9,2,FALSE),'Прайс'!$B$2))</f>
        <v/>
      </c>
      <c r="K55" s="100">
        <f>IF(AND(C55&gt;0,J55&gt;0,E55&lt;&gt;"Продано"),ROUND(C55*J55,0),"")</f>
        <v/>
      </c>
      <c r="L55" s="100">
        <f>IF(AND(F55="Да",C55&gt;0,E55&lt;&gt;"Продано"),ROUND(C55*'Прайс'!$B$3,0),0)</f>
        <v/>
      </c>
      <c r="M55" s="100">
        <f t="array" ref="M55">IF(I55&lt;&gt;"",INDEX('Каталог'!$F:$F,MATCH(I55,'Каталог'!$A:$A,0)),"")</f>
        <v/>
      </c>
      <c r="N55" s="100">
        <f>IF(AND(E55&lt;&gt;"Продано",OR(K55&gt;0,M55&gt;0)),IFERROR(K55,0)+IFERROR(M55,0)+IFERROR(L55,0),"")</f>
        <v/>
      </c>
    </row>
    <row r="56" ht="15.75" customHeight="1" s="163">
      <c r="A56" s="99" t="n">
        <v>1595</v>
      </c>
      <c r="B56" s="99" t="inlineStr">
        <is>
          <t>Айвазовского</t>
        </is>
      </c>
      <c r="C56" s="99" t="n"/>
      <c r="D56" s="99" t="inlineStr">
        <is>
          <t>Вид на море</t>
        </is>
      </c>
      <c r="E56" s="99" t="inlineStr">
        <is>
          <t>Свободно</t>
        </is>
      </c>
      <c r="F56" s="99" t="inlineStr">
        <is>
          <t>Нет</t>
        </is>
      </c>
      <c r="G56" s="99" t="inlineStr">
        <is>
          <t>1 ф М / 2 ф М</t>
        </is>
      </c>
      <c r="H56" s="104" t="inlineStr">
        <is>
          <t>1 эт.: Костеро, Линия 40, Линия 72, Логос, Логос мини, Арбор, Баня | 2 эт.: Палаццо, Эдем, Вилла Маре</t>
        </is>
      </c>
      <c r="I56" s="99" t="n"/>
      <c r="J56" s="100">
        <f t="array" ref="J56">IF(I56&lt;&gt;"",ROUND(INDEX('Каталог'!$F:$F,MATCH(I56,'Каталог'!$A:$A,0))/'Прайс'!$B$4,0),IFERROR(VLOOKUP(D56,'Прайс'!$A$7:$B$9,2,FALSE),'Прайс'!$B$2))</f>
        <v/>
      </c>
      <c r="K56" s="100">
        <f>IF(AND(C56&gt;0,J56&gt;0,E56&lt;&gt;"Продано"),ROUND(C56*J56,0),"")</f>
        <v/>
      </c>
      <c r="L56" s="100">
        <f>IF(AND(F56="Да",C56&gt;0,E56&lt;&gt;"Продано"),ROUND(C56*'Прайс'!$B$3,0),0)</f>
        <v/>
      </c>
      <c r="M56" s="100">
        <f t="array" ref="M56">IF(I56&lt;&gt;"",INDEX('Каталог'!$F:$F,MATCH(I56,'Каталог'!$A:$A,0)),"")</f>
        <v/>
      </c>
      <c r="N56" s="100">
        <f>IF(AND(E56&lt;&gt;"Продано",OR(K56&gt;0,M56&gt;0)),IFERROR(K56,0)+IFERROR(M56,0)+IFERROR(L56,0),"")</f>
        <v/>
      </c>
    </row>
    <row r="57" ht="15.75" customHeight="1" s="163">
      <c r="A57" s="99" t="n">
        <v>1596</v>
      </c>
      <c r="B57" s="99" t="inlineStr">
        <is>
          <t>Айвазовского</t>
        </is>
      </c>
      <c r="C57" s="99" t="n"/>
      <c r="D57" s="99" t="inlineStr">
        <is>
          <t>Вид на море</t>
        </is>
      </c>
      <c r="E57" s="99" t="inlineStr">
        <is>
          <t>Свободно</t>
        </is>
      </c>
      <c r="F57" s="99" t="inlineStr">
        <is>
          <t>Нет</t>
        </is>
      </c>
      <c r="G57" s="99" t="inlineStr">
        <is>
          <t>1 ф М / 2 ф М</t>
        </is>
      </c>
      <c r="H57" s="104" t="inlineStr">
        <is>
          <t>1 эт.: Костеро, Линия 40, Линия 72, Логос, Логос мини, Арбор, Баня | 2 эт.: Палаццо, Эдем, Вилла Маре</t>
        </is>
      </c>
      <c r="I57" s="99" t="n"/>
      <c r="J57" s="100">
        <f t="array" ref="J57">IF(I57&lt;&gt;"",ROUND(INDEX('Каталог'!$F:$F,MATCH(I57,'Каталог'!$A:$A,0))/'Прайс'!$B$4,0),IFERROR(VLOOKUP(D57,'Прайс'!$A$7:$B$9,2,FALSE),'Прайс'!$B$2))</f>
        <v/>
      </c>
      <c r="K57" s="100">
        <f>IF(AND(C57&gt;0,J57&gt;0,E57&lt;&gt;"Продано"),ROUND(C57*J57,0),"")</f>
        <v/>
      </c>
      <c r="L57" s="100">
        <f>IF(AND(F57="Да",C57&gt;0,E57&lt;&gt;"Продано"),ROUND(C57*'Прайс'!$B$3,0),0)</f>
        <v/>
      </c>
      <c r="M57" s="100">
        <f t="array" ref="M57">IF(I57&lt;&gt;"",INDEX('Каталог'!$F:$F,MATCH(I57,'Каталог'!$A:$A,0)),"")</f>
        <v/>
      </c>
      <c r="N57" s="100">
        <f>IF(AND(E57&lt;&gt;"Продано",OR(K57&gt;0,M57&gt;0)),IFERROR(K57,0)+IFERROR(M57,0)+IFERROR(L57,0),"")</f>
        <v/>
      </c>
    </row>
    <row r="58" ht="15.75" customHeight="1" s="163">
      <c r="A58" s="99" t="n">
        <v>1597</v>
      </c>
      <c r="B58" s="99" t="inlineStr">
        <is>
          <t>Айвазовского</t>
        </is>
      </c>
      <c r="C58" s="99" t="n"/>
      <c r="D58" s="99" t="inlineStr">
        <is>
          <t>Вид на море</t>
        </is>
      </c>
      <c r="E58" s="99" t="inlineStr">
        <is>
          <t>Свободно</t>
        </is>
      </c>
      <c r="F58" s="99" t="inlineStr">
        <is>
          <t>Нет</t>
        </is>
      </c>
      <c r="G58" s="99" t="inlineStr">
        <is>
          <t>1 ф М / 2 ф М</t>
        </is>
      </c>
      <c r="H58" s="104" t="inlineStr">
        <is>
          <t>1 эт.: Костеро, Линия 40, Линия 72, Логос, Логос мини, Арбор, Баня | 2 эт.: Палаццо, Эдем, Вилла Маре</t>
        </is>
      </c>
      <c r="I58" s="99" t="n"/>
      <c r="J58" s="100">
        <f t="array" ref="J58">IF(I58&lt;&gt;"",ROUND(INDEX('Каталог'!$F:$F,MATCH(I58,'Каталог'!$A:$A,0))/'Прайс'!$B$4,0),IFERROR(VLOOKUP(D58,'Прайс'!$A$7:$B$9,2,FALSE),'Прайс'!$B$2))</f>
        <v/>
      </c>
      <c r="K58" s="100">
        <f>IF(AND(C58&gt;0,J58&gt;0,E58&lt;&gt;"Продано"),ROUND(C58*J58,0),"")</f>
        <v/>
      </c>
      <c r="L58" s="100">
        <f>IF(AND(F58="Да",C58&gt;0,E58&lt;&gt;"Продано"),ROUND(C58*'Прайс'!$B$3,0),0)</f>
        <v/>
      </c>
      <c r="M58" s="100">
        <f t="array" ref="M58">IF(I58&lt;&gt;"",INDEX('Каталог'!$F:$F,MATCH(I58,'Каталог'!$A:$A,0)),"")</f>
        <v/>
      </c>
      <c r="N58" s="100">
        <f>IF(AND(E58&lt;&gt;"Продано",OR(K58&gt;0,M58&gt;0)),IFERROR(K58,0)+IFERROR(M58,0)+IFERROR(L58,0),"")</f>
        <v/>
      </c>
    </row>
    <row r="59" ht="15.75" customHeight="1" s="163">
      <c r="A59" s="99" t="n">
        <v>1598</v>
      </c>
      <c r="B59" s="99" t="inlineStr">
        <is>
          <t>Айвазовского</t>
        </is>
      </c>
      <c r="C59" s="99" t="n"/>
      <c r="D59" s="99" t="inlineStr">
        <is>
          <t>Вид на море</t>
        </is>
      </c>
      <c r="E59" s="99" t="inlineStr">
        <is>
          <t>Свободно</t>
        </is>
      </c>
      <c r="F59" s="99" t="inlineStr">
        <is>
          <t>Нет</t>
        </is>
      </c>
      <c r="G59" s="99" t="inlineStr">
        <is>
          <t>1 ф М / 2 ф М</t>
        </is>
      </c>
      <c r="H59" s="104" t="inlineStr">
        <is>
          <t>1 эт.: Костеро, Линия 40, Линия 72, Логос, Логос мини, Арбор, Баня | 2 эт.: Палаццо, Эдем, Вилла Маре</t>
        </is>
      </c>
      <c r="I59" s="99" t="n"/>
      <c r="J59" s="100">
        <f t="array" ref="J59">IF(I59&lt;&gt;"",ROUND(INDEX('Каталог'!$F:$F,MATCH(I59,'Каталог'!$A:$A,0))/'Прайс'!$B$4,0),IFERROR(VLOOKUP(D59,'Прайс'!$A$7:$B$9,2,FALSE),'Прайс'!$B$2))</f>
        <v/>
      </c>
      <c r="K59" s="100">
        <f>IF(AND(C59&gt;0,J59&gt;0,E59&lt;&gt;"Продано"),ROUND(C59*J59,0),"")</f>
        <v/>
      </c>
      <c r="L59" s="100">
        <f>IF(AND(F59="Да",C59&gt;0,E59&lt;&gt;"Продано"),ROUND(C59*'Прайс'!$B$3,0),0)</f>
        <v/>
      </c>
      <c r="M59" s="100">
        <f t="array" ref="M59">IF(I59&lt;&gt;"",INDEX('Каталог'!$F:$F,MATCH(I59,'Каталог'!$A:$A,0)),"")</f>
        <v/>
      </c>
      <c r="N59" s="100">
        <f>IF(AND(E59&lt;&gt;"Продано",OR(K59&gt;0,M59&gt;0)),IFERROR(K59,0)+IFERROR(M59,0)+IFERROR(L59,0),"")</f>
        <v/>
      </c>
    </row>
    <row r="60" ht="15.75" customHeight="1" s="163">
      <c r="A60" s="99" t="n">
        <v>1599</v>
      </c>
      <c r="B60" s="99" t="inlineStr">
        <is>
          <t>Айвазовского</t>
        </is>
      </c>
      <c r="C60" s="99" t="n"/>
      <c r="D60" s="99" t="inlineStr">
        <is>
          <t>Вид на море</t>
        </is>
      </c>
      <c r="E60" s="99" t="inlineStr">
        <is>
          <t>Свободно</t>
        </is>
      </c>
      <c r="F60" s="99" t="inlineStr">
        <is>
          <t>Нет</t>
        </is>
      </c>
      <c r="G60" s="99" t="inlineStr">
        <is>
          <t>1 ф М / 2 ф М</t>
        </is>
      </c>
      <c r="H60" s="104" t="inlineStr">
        <is>
          <t>1 эт.: Костеро, Линия 40, Линия 72, Логос, Логос мини, Арбор, Баня | 2 эт.: Палаццо, Эдем, Вилла Маре</t>
        </is>
      </c>
      <c r="I60" s="99" t="n"/>
      <c r="J60" s="100">
        <f t="array" ref="J60">IF(I60&lt;&gt;"",ROUND(INDEX('Каталог'!$F:$F,MATCH(I60,'Каталог'!$A:$A,0))/'Прайс'!$B$4,0),IFERROR(VLOOKUP(D60,'Прайс'!$A$7:$B$9,2,FALSE),'Прайс'!$B$2))</f>
        <v/>
      </c>
      <c r="K60" s="100">
        <f>IF(AND(C60&gt;0,J60&gt;0,E60&lt;&gt;"Продано"),ROUND(C60*J60,0),"")</f>
        <v/>
      </c>
      <c r="L60" s="100">
        <f>IF(AND(F60="Да",C60&gt;0,E60&lt;&gt;"Продано"),ROUND(C60*'Прайс'!$B$3,0),0)</f>
        <v/>
      </c>
      <c r="M60" s="100">
        <f t="array" ref="M60">IF(I60&lt;&gt;"",INDEX('Каталог'!$F:$F,MATCH(I60,'Каталог'!$A:$A,0)),"")</f>
        <v/>
      </c>
      <c r="N60" s="100">
        <f>IF(AND(E60&lt;&gt;"Продано",OR(K60&gt;0,M60&gt;0)),IFERROR(K60,0)+IFERROR(M60,0)+IFERROR(L60,0),"")</f>
        <v/>
      </c>
    </row>
    <row r="61" ht="15.75" customHeight="1" s="163">
      <c r="A61" s="99" t="n">
        <v>1600</v>
      </c>
      <c r="B61" s="99" t="inlineStr">
        <is>
          <t>Айвазовского</t>
        </is>
      </c>
      <c r="C61" s="99" t="n">
        <v>500</v>
      </c>
      <c r="D61" s="99" t="inlineStr">
        <is>
          <t>Виноградники / лиман / вулканы</t>
        </is>
      </c>
      <c r="E61" s="99" t="inlineStr">
        <is>
          <t>Свободно</t>
        </is>
      </c>
      <c r="F61" s="99" t="inlineStr">
        <is>
          <t>Нет</t>
        </is>
      </c>
      <c r="G61" s="99" t="inlineStr">
        <is>
          <t>1 ф ВЛВ / 2 ф ВЛВ</t>
        </is>
      </c>
      <c r="H61" s="104" t="inlineStr">
        <is>
          <t>1 эт.: Костеро, Линия 40, Линия 72, Логос, Логос мини, Арбор, Баня | 2 эт.: Палаццо, Эдем, Вилла Маре</t>
        </is>
      </c>
      <c r="I61" s="99" t="n"/>
      <c r="J61" s="100">
        <f t="array" ref="J61">IF(I61&lt;&gt;"",ROUND(INDEX('Каталог'!$F:$F,MATCH(I61,'Каталог'!$A:$A,0))/'Прайс'!$B$4,0),IFERROR(VLOOKUP(D61,'Прайс'!$A$7:$B$9,2,FALSE),'Прайс'!$B$2))</f>
        <v/>
      </c>
      <c r="K61" s="100">
        <f>IF(AND(C61&gt;0,J61&gt;0,E61&lt;&gt;"Продано"),ROUND(C61*J61,0),"")</f>
        <v/>
      </c>
      <c r="L61" s="100">
        <f>IF(AND(F61="Да",C61&gt;0,E61&lt;&gt;"Продано"),ROUND(C61*'Прайс'!$B$3,0),0)</f>
        <v/>
      </c>
      <c r="M61" s="100">
        <f t="array" ref="M61">IF(I61&lt;&gt;"",INDEX('Каталог'!$F:$F,MATCH(I61,'Каталог'!$A:$A,0)),"")</f>
        <v/>
      </c>
      <c r="N61" s="100">
        <f>IF(AND(E61&lt;&gt;"Продано",OR(K61&gt;0,M61&gt;0)),IFERROR(K61,0)+IFERROR(M61,0)+IFERROR(L61,0),"")</f>
        <v/>
      </c>
    </row>
    <row r="62" ht="15.75" customHeight="1" s="163">
      <c r="A62" s="99" t="n">
        <v>1601</v>
      </c>
      <c r="B62" s="99" t="inlineStr">
        <is>
          <t>Айвазовского</t>
        </is>
      </c>
      <c r="C62" s="99" t="n">
        <v>500</v>
      </c>
      <c r="D62" s="99" t="inlineStr">
        <is>
          <t>Виноградники / лиман / вулканы</t>
        </is>
      </c>
      <c r="E62" s="99" t="inlineStr">
        <is>
          <t>Свободно</t>
        </is>
      </c>
      <c r="F62" s="99" t="inlineStr">
        <is>
          <t>Нет</t>
        </is>
      </c>
      <c r="G62" s="99" t="inlineStr">
        <is>
          <t>1 ф ВЛВ / 2 ф ВЛВ</t>
        </is>
      </c>
      <c r="H62" s="104" t="inlineStr">
        <is>
          <t>1 эт.: Костеро, Линия 40, Линия 72, Логос, Логос мини, Арбор, Баня | 2 эт.: Палаццо, Эдем, Вилла Маре</t>
        </is>
      </c>
      <c r="I62" s="99" t="n"/>
      <c r="J62" s="100">
        <f t="array" ref="J62">IF(I62&lt;&gt;"",ROUND(INDEX('Каталог'!$F:$F,MATCH(I62,'Каталог'!$A:$A,0))/'Прайс'!$B$4,0),IFERROR(VLOOKUP(D62,'Прайс'!$A$7:$B$9,2,FALSE),'Прайс'!$B$2))</f>
        <v/>
      </c>
      <c r="K62" s="100">
        <f>IF(AND(C62&gt;0,J62&gt;0,E62&lt;&gt;"Продано"),ROUND(C62*J62,0),"")</f>
        <v/>
      </c>
      <c r="L62" s="100">
        <f>IF(AND(F62="Да",C62&gt;0,E62&lt;&gt;"Продано"),ROUND(C62*'Прайс'!$B$3,0),0)</f>
        <v/>
      </c>
      <c r="M62" s="100">
        <f t="array" ref="M62">IF(I62&lt;&gt;"",INDEX('Каталог'!$F:$F,MATCH(I62,'Каталог'!$A:$A,0)),"")</f>
        <v/>
      </c>
      <c r="N62" s="100">
        <f>IF(AND(E62&lt;&gt;"Продано",OR(K62&gt;0,M62&gt;0)),IFERROR(K62,0)+IFERROR(M62,0)+IFERROR(L62,0),"")</f>
        <v/>
      </c>
    </row>
    <row r="63" ht="15.75" customHeight="1" s="163">
      <c r="A63" s="99" t="n">
        <v>1602</v>
      </c>
      <c r="B63" s="99" t="inlineStr">
        <is>
          <t>Айвазовского</t>
        </is>
      </c>
      <c r="C63" s="99" t="n">
        <v>500</v>
      </c>
      <c r="D63" s="99" t="inlineStr">
        <is>
          <t>Виноградники / лиман / вулканы</t>
        </is>
      </c>
      <c r="E63" s="99" t="inlineStr">
        <is>
          <t>Свободно</t>
        </is>
      </c>
      <c r="F63" s="99" t="inlineStr">
        <is>
          <t>Нет</t>
        </is>
      </c>
      <c r="G63" s="99" t="inlineStr">
        <is>
          <t>1 ф ВЛВ / 2 ф ВЛВ</t>
        </is>
      </c>
      <c r="H63" s="104" t="inlineStr">
        <is>
          <t>1 эт.: Костеро, Линия 40, Линия 72, Логос, Логос мини, Арбор, Баня | 2 эт.: Палаццо, Эдем, Вилла Маре</t>
        </is>
      </c>
      <c r="I63" s="99" t="n"/>
      <c r="J63" s="100">
        <f t="array" ref="J63">IF(I63&lt;&gt;"",ROUND(INDEX('Каталог'!$F:$F,MATCH(I63,'Каталог'!$A:$A,0))/'Прайс'!$B$4,0),IFERROR(VLOOKUP(D63,'Прайс'!$A$7:$B$9,2,FALSE),'Прайс'!$B$2))</f>
        <v/>
      </c>
      <c r="K63" s="100">
        <f>IF(AND(C63&gt;0,J63&gt;0,E63&lt;&gt;"Продано"),ROUND(C63*J63,0),"")</f>
        <v/>
      </c>
      <c r="L63" s="100">
        <f>IF(AND(F63="Да",C63&gt;0,E63&lt;&gt;"Продано"),ROUND(C63*'Прайс'!$B$3,0),0)</f>
        <v/>
      </c>
      <c r="M63" s="100">
        <f t="array" ref="M63">IF(I63&lt;&gt;"",INDEX('Каталог'!$F:$F,MATCH(I63,'Каталог'!$A:$A,0)),"")</f>
        <v/>
      </c>
      <c r="N63" s="100">
        <f>IF(AND(E63&lt;&gt;"Продано",OR(K63&gt;0,M63&gt;0)),IFERROR(K63,0)+IFERROR(M63,0)+IFERROR(L63,0),"")</f>
        <v/>
      </c>
    </row>
    <row r="64" ht="15.75" customHeight="1" s="163">
      <c r="A64" s="99" t="n">
        <v>1603</v>
      </c>
      <c r="B64" s="99" t="inlineStr">
        <is>
          <t>Айвазовского</t>
        </is>
      </c>
      <c r="C64" s="99" t="n">
        <v>500</v>
      </c>
      <c r="D64" s="99" t="inlineStr">
        <is>
          <t>Виноградники / лиман / вулканы</t>
        </is>
      </c>
      <c r="E64" s="99" t="inlineStr">
        <is>
          <t>Свободно</t>
        </is>
      </c>
      <c r="F64" s="99" t="inlineStr">
        <is>
          <t>Нет</t>
        </is>
      </c>
      <c r="G64" s="99" t="inlineStr">
        <is>
          <t>1 ф ВЛВ / 2 ф ВЛВ</t>
        </is>
      </c>
      <c r="H64" s="104" t="inlineStr">
        <is>
          <t>1 эт.: Костеро, Линия 40, Линия 72, Логос, Логос мини, Арбор, Баня | 2 эт.: Палаццо, Эдем, Вилла Маре</t>
        </is>
      </c>
      <c r="I64" s="99" t="n"/>
      <c r="J64" s="100">
        <f t="array" ref="J64">IF(I64&lt;&gt;"",ROUND(INDEX('Каталог'!$F:$F,MATCH(I64,'Каталог'!$A:$A,0))/'Прайс'!$B$4,0),IFERROR(VLOOKUP(D64,'Прайс'!$A$7:$B$9,2,FALSE),'Прайс'!$B$2))</f>
        <v/>
      </c>
      <c r="K64" s="100">
        <f>IF(AND(C64&gt;0,J64&gt;0,E64&lt;&gt;"Продано"),ROUND(C64*J64,0),"")</f>
        <v/>
      </c>
      <c r="L64" s="100">
        <f>IF(AND(F64="Да",C64&gt;0,E64&lt;&gt;"Продано"),ROUND(C64*'Прайс'!$B$3,0),0)</f>
        <v/>
      </c>
      <c r="M64" s="100">
        <f t="array" ref="M64">IF(I64&lt;&gt;"",INDEX('Каталог'!$F:$F,MATCH(I64,'Каталог'!$A:$A,0)),"")</f>
        <v/>
      </c>
      <c r="N64" s="100">
        <f>IF(AND(E64&lt;&gt;"Продано",OR(K64&gt;0,M64&gt;0)),IFERROR(K64,0)+IFERROR(M64,0)+IFERROR(L64,0),"")</f>
        <v/>
      </c>
    </row>
    <row r="65" ht="15.75" customHeight="1" s="163">
      <c r="A65" s="99" t="n">
        <v>1604</v>
      </c>
      <c r="B65" s="99" t="inlineStr">
        <is>
          <t>Айвазовского</t>
        </is>
      </c>
      <c r="C65" s="99" t="n">
        <v>500</v>
      </c>
      <c r="D65" s="99" t="inlineStr">
        <is>
          <t>Виноградники / лиман / вулканы</t>
        </is>
      </c>
      <c r="E65" s="99" t="inlineStr">
        <is>
          <t>Свободно</t>
        </is>
      </c>
      <c r="F65" s="99" t="inlineStr">
        <is>
          <t>Нет</t>
        </is>
      </c>
      <c r="G65" s="99" t="inlineStr">
        <is>
          <t>1 ф ВЛВ / 2 ф ВЛВ</t>
        </is>
      </c>
      <c r="H65" s="104" t="inlineStr">
        <is>
          <t>1 эт.: Костеро, Линия 40, Линия 72, Логос, Логос мини, Арбор, Баня | 2 эт.: Палаццо, Эдем, Вилла Маре</t>
        </is>
      </c>
      <c r="I65" s="99" t="n"/>
      <c r="J65" s="100">
        <f t="array" ref="J65">IF(I65&lt;&gt;"",ROUND(INDEX('Каталог'!$F:$F,MATCH(I65,'Каталог'!$A:$A,0))/'Прайс'!$B$4,0),IFERROR(VLOOKUP(D65,'Прайс'!$A$7:$B$9,2,FALSE),'Прайс'!$B$2))</f>
        <v/>
      </c>
      <c r="K65" s="100">
        <f>IF(AND(C65&gt;0,J65&gt;0,E65&lt;&gt;"Продано"),ROUND(C65*J65,0),"")</f>
        <v/>
      </c>
      <c r="L65" s="100">
        <f>IF(AND(F65="Да",C65&gt;0,E65&lt;&gt;"Продано"),ROUND(C65*'Прайс'!$B$3,0),0)</f>
        <v/>
      </c>
      <c r="M65" s="100">
        <f t="array" ref="M65">IF(I65&lt;&gt;"",INDEX('Каталог'!$F:$F,MATCH(I65,'Каталог'!$A:$A,0)),"")</f>
        <v/>
      </c>
      <c r="N65" s="100">
        <f>IF(AND(E65&lt;&gt;"Продано",OR(K65&gt;0,M65&gt;0)),IFERROR(K65,0)+IFERROR(M65,0)+IFERROR(L65,0),"")</f>
        <v/>
      </c>
    </row>
    <row r="66" ht="15.75" customHeight="1" s="163">
      <c r="A66" s="99" t="n">
        <v>1605</v>
      </c>
      <c r="B66" s="99" t="inlineStr">
        <is>
          <t>Айвазовского</t>
        </is>
      </c>
      <c r="C66" s="99" t="n">
        <v>500</v>
      </c>
      <c r="D66" s="99" t="inlineStr">
        <is>
          <t>Виноградники / лиман / вулканы</t>
        </is>
      </c>
      <c r="E66" s="99" t="inlineStr">
        <is>
          <t>Свободно</t>
        </is>
      </c>
      <c r="F66" s="99" t="inlineStr">
        <is>
          <t>Нет</t>
        </is>
      </c>
      <c r="G66" s="99" t="inlineStr">
        <is>
          <t>1 ф ВЛВ / 2 ф ВЛВ</t>
        </is>
      </c>
      <c r="H66" s="104" t="inlineStr">
        <is>
          <t>1 эт.: Костеро, Линия 40, Линия 72, Логос, Логос мини, Арбор, Баня | 2 эт.: Палаццо, Эдем, Вилла Маре</t>
        </is>
      </c>
      <c r="I66" s="99" t="n"/>
      <c r="J66" s="100">
        <f t="array" ref="J66">IF(I66&lt;&gt;"",ROUND(INDEX('Каталог'!$F:$F,MATCH(I66,'Каталог'!$A:$A,0))/'Прайс'!$B$4,0),IFERROR(VLOOKUP(D66,'Прайс'!$A$7:$B$9,2,FALSE),'Прайс'!$B$2))</f>
        <v/>
      </c>
      <c r="K66" s="100">
        <f>IF(AND(C66&gt;0,J66&gt;0,E66&lt;&gt;"Продано"),ROUND(C66*J66,0),"")</f>
        <v/>
      </c>
      <c r="L66" s="100">
        <f>IF(AND(F66="Да",C66&gt;0,E66&lt;&gt;"Продано"),ROUND(C66*'Прайс'!$B$3,0),0)</f>
        <v/>
      </c>
      <c r="M66" s="100">
        <f t="array" ref="M66">IF(I66&lt;&gt;"",INDEX('Каталог'!$F:$F,MATCH(I66,'Каталог'!$A:$A,0)),"")</f>
        <v/>
      </c>
      <c r="N66" s="100">
        <f>IF(AND(E66&lt;&gt;"Продано",OR(K66&gt;0,M66&gt;0)),IFERROR(K66,0)+IFERROR(M66,0)+IFERROR(L66,0),"")</f>
        <v/>
      </c>
    </row>
    <row r="67" ht="15.75" customHeight="1" s="163">
      <c r="A67" s="99" t="n">
        <v>1606</v>
      </c>
      <c r="B67" s="99" t="inlineStr">
        <is>
          <t>Айвазовского</t>
        </is>
      </c>
      <c r="C67" s="99" t="n">
        <v>500</v>
      </c>
      <c r="D67" s="99" t="inlineStr">
        <is>
          <t>Виноградники / лиман / вулканы</t>
        </is>
      </c>
      <c r="E67" s="99" t="inlineStr">
        <is>
          <t>Свободно</t>
        </is>
      </c>
      <c r="F67" s="99" t="inlineStr">
        <is>
          <t>Нет</t>
        </is>
      </c>
      <c r="G67" s="99" t="inlineStr">
        <is>
          <t>1 ф ВЛВ / 2 ф ВЛВ</t>
        </is>
      </c>
      <c r="H67" s="104" t="inlineStr">
        <is>
          <t>1 эт.: Костеро, Линия 40, Линия 72, Логос, Логос мини, Арбор, Баня | 2 эт.: Палаццо, Эдем, Вилла Маре</t>
        </is>
      </c>
      <c r="I67" s="99" t="n"/>
      <c r="J67" s="100">
        <f t="array" ref="J67">IF(I67&lt;&gt;"",ROUND(INDEX('Каталог'!$F:$F,MATCH(I67,'Каталог'!$A:$A,0))/'Прайс'!$B$4,0),IFERROR(VLOOKUP(D67,'Прайс'!$A$7:$B$9,2,FALSE),'Прайс'!$B$2))</f>
        <v/>
      </c>
      <c r="K67" s="100">
        <f>IF(AND(C67&gt;0,J67&gt;0,E67&lt;&gt;"Продано"),ROUND(C67*J67,0),"")</f>
        <v/>
      </c>
      <c r="L67" s="100">
        <f>IF(AND(F67="Да",C67&gt;0,E67&lt;&gt;"Продано"),ROUND(C67*'Прайс'!$B$3,0),0)</f>
        <v/>
      </c>
      <c r="M67" s="100">
        <f t="array" ref="M67">IF(I67&lt;&gt;"",INDEX('Каталог'!$F:$F,MATCH(I67,'Каталог'!$A:$A,0)),"")</f>
        <v/>
      </c>
      <c r="N67" s="100">
        <f>IF(AND(E67&lt;&gt;"Продано",OR(K67&gt;0,M67&gt;0)),IFERROR(K67,0)+IFERROR(M67,0)+IFERROR(L67,0),"")</f>
        <v/>
      </c>
    </row>
    <row r="68" ht="15.75" customHeight="1" s="163">
      <c r="A68" s="99" t="n">
        <v>1607</v>
      </c>
      <c r="B68" s="99" t="inlineStr">
        <is>
          <t>Айвазовского</t>
        </is>
      </c>
      <c r="C68" s="99" t="n">
        <v>675</v>
      </c>
      <c r="D68" s="99" t="inlineStr">
        <is>
          <t>Виноградники / лиман / вулканы</t>
        </is>
      </c>
      <c r="E68" s="99" t="inlineStr">
        <is>
          <t>Свободно</t>
        </is>
      </c>
      <c r="F68" s="99" t="inlineStr">
        <is>
          <t>Да</t>
        </is>
      </c>
      <c r="G68" s="99" t="inlineStr">
        <is>
          <t>1 ф ВЛВ / 2 ф ВЛВ</t>
        </is>
      </c>
      <c r="H68" s="104" t="inlineStr">
        <is>
          <t>1 эт.: Костеро, Линия 40, Линия 72, Логос, Логос мини, Арбор, Баня | 2 эт.: Палаццо, Эдем, Вилла Маре</t>
        </is>
      </c>
      <c r="I68" s="99" t="n"/>
      <c r="J68" s="100">
        <f t="array" ref="J68">IF(I68&lt;&gt;"",ROUND(INDEX('Каталог'!$F:$F,MATCH(I68,'Каталог'!$A:$A,0))/'Прайс'!$B$4,0),IFERROR(VLOOKUP(D68,'Прайс'!$A$7:$B$9,2,FALSE),'Прайс'!$B$2))</f>
        <v/>
      </c>
      <c r="K68" s="100">
        <f>IF(AND(C68&gt;0,J68&gt;0,E68&lt;&gt;"Продано"),ROUND(C68*J68,0),"")</f>
        <v/>
      </c>
      <c r="L68" s="100">
        <f>IF(AND(F68="Да",C68&gt;0,E68&lt;&gt;"Продано"),ROUND(C68*'Прайс'!$B$3,0),0)</f>
        <v/>
      </c>
      <c r="M68" s="100">
        <f t="array" ref="M68">IF(I68&lt;&gt;"",INDEX('Каталог'!$F:$F,MATCH(I68,'Каталог'!$A:$A,0)),"")</f>
        <v/>
      </c>
      <c r="N68" s="100">
        <f>IF(AND(E68&lt;&gt;"Продано",OR(K68&gt;0,M68&gt;0)),IFERROR(K68,0)+IFERROR(M68,0)+IFERROR(L68,0),"")</f>
        <v/>
      </c>
    </row>
    <row r="69" ht="15.75" customHeight="1" s="163">
      <c r="A69" s="99" t="n">
        <v>1608</v>
      </c>
      <c r="B69" s="99" t="inlineStr">
        <is>
          <t>Корабельная</t>
        </is>
      </c>
      <c r="C69" s="99" t="n">
        <v>675</v>
      </c>
      <c r="D69" s="99" t="n"/>
      <c r="E69" s="99" t="inlineStr">
        <is>
          <t>Продано</t>
        </is>
      </c>
      <c r="F69" s="99" t="inlineStr">
        <is>
          <t>Да</t>
        </is>
      </c>
      <c r="G69" s="99" t="inlineStr">
        <is>
          <t>—</t>
        </is>
      </c>
      <c r="H69" s="104" t="inlineStr">
        <is>
          <t>—</t>
        </is>
      </c>
      <c r="I69" s="99" t="n"/>
      <c r="J69" s="100">
        <f t="array" ref="J69">IF(I69&lt;&gt;"",ROUND(INDEX('Каталог'!$F:$F,MATCH(I69,'Каталог'!$A:$A,0))/'Прайс'!$B$4,0),IFERROR(VLOOKUP(D69,'Прайс'!$A$7:$B$9,2,FALSE),'Прайс'!$B$2))</f>
        <v/>
      </c>
      <c r="K69" s="100">
        <f>IF(AND(C69&gt;0,J69&gt;0,E69&lt;&gt;"Продано"),ROUND(C69*J69,0),"")</f>
        <v/>
      </c>
      <c r="L69" s="100">
        <f>IF(AND(F69="Да",C69&gt;0,E69&lt;&gt;"Продано"),ROUND(C69*'Прайс'!$B$3,0),0)</f>
        <v/>
      </c>
      <c r="M69" s="100">
        <f t="array" ref="M69">IF(I69&lt;&gt;"",INDEX('Каталог'!$F:$F,MATCH(I69,'Каталог'!$A:$A,0)),"")</f>
        <v/>
      </c>
      <c r="N69" s="100">
        <f>IF(AND(E69&lt;&gt;"Продано",OR(K69&gt;0,M69&gt;0)),IFERROR(K69,0)+IFERROR(M69,0)+IFERROR(L69,0),"")</f>
        <v/>
      </c>
    </row>
    <row r="70" ht="15.75" customHeight="1" s="163">
      <c r="A70" s="99" t="n">
        <v>1609</v>
      </c>
      <c r="B70" s="99" t="inlineStr">
        <is>
          <t>Корабельная</t>
        </is>
      </c>
      <c r="C70" s="99" t="n"/>
      <c r="D70" s="99" t="n"/>
      <c r="E70" s="99" t="inlineStr">
        <is>
          <t>Продано</t>
        </is>
      </c>
      <c r="F70" s="99" t="inlineStr">
        <is>
          <t>Нет</t>
        </is>
      </c>
      <c r="G70" s="99" t="inlineStr">
        <is>
          <t>—</t>
        </is>
      </c>
      <c r="H70" s="104" t="inlineStr">
        <is>
          <t>—</t>
        </is>
      </c>
      <c r="I70" s="99" t="n"/>
      <c r="J70" s="100">
        <f t="array" ref="J70">IF(I70&lt;&gt;"",ROUND(INDEX('Каталог'!$F:$F,MATCH(I70,'Каталог'!$A:$A,0))/'Прайс'!$B$4,0),IFERROR(VLOOKUP(D70,'Прайс'!$A$7:$B$9,2,FALSE),'Прайс'!$B$2))</f>
        <v/>
      </c>
      <c r="K70" s="100">
        <f>IF(AND(C70&gt;0,J70&gt;0,E70&lt;&gt;"Продано"),ROUND(C70*J70,0),"")</f>
        <v/>
      </c>
      <c r="L70" s="100">
        <f>IF(AND(F70="Да",C70&gt;0,E70&lt;&gt;"Продано"),ROUND(C70*'Прайс'!$B$3,0),0)</f>
        <v/>
      </c>
      <c r="M70" s="100">
        <f t="array" ref="M70">IF(I70&lt;&gt;"",INDEX('Каталог'!$F:$F,MATCH(I70,'Каталог'!$A:$A,0)),"")</f>
        <v/>
      </c>
      <c r="N70" s="100">
        <f>IF(AND(E70&lt;&gt;"Продано",OR(K70&gt;0,M70&gt;0)),IFERROR(K70,0)+IFERROR(M70,0)+IFERROR(L70,0),"")</f>
        <v/>
      </c>
    </row>
    <row r="71" ht="15.75" customHeight="1" s="163">
      <c r="A71" s="99" t="n">
        <v>1610</v>
      </c>
      <c r="B71" s="99" t="inlineStr">
        <is>
          <t>Корабельная</t>
        </is>
      </c>
      <c r="C71" s="99" t="n"/>
      <c r="D71" s="99" t="n"/>
      <c r="E71" s="99" t="inlineStr">
        <is>
          <t>Продано</t>
        </is>
      </c>
      <c r="F71" s="99" t="inlineStr">
        <is>
          <t>Нет</t>
        </is>
      </c>
      <c r="G71" s="99" t="inlineStr">
        <is>
          <t>—</t>
        </is>
      </c>
      <c r="H71" s="104" t="inlineStr">
        <is>
          <t>—</t>
        </is>
      </c>
      <c r="I71" s="99" t="n"/>
      <c r="J71" s="100">
        <f t="array" ref="J71">IF(I71&lt;&gt;"",ROUND(INDEX('Каталог'!$F:$F,MATCH(I71,'Каталог'!$A:$A,0))/'Прайс'!$B$4,0),IFERROR(VLOOKUP(D71,'Прайс'!$A$7:$B$9,2,FALSE),'Прайс'!$B$2))</f>
        <v/>
      </c>
      <c r="K71" s="100">
        <f>IF(AND(C71&gt;0,J71&gt;0,E71&lt;&gt;"Продано"),ROUND(C71*J71,0),"")</f>
        <v/>
      </c>
      <c r="L71" s="100">
        <f>IF(AND(F71="Да",C71&gt;0,E71&lt;&gt;"Продано"),ROUND(C71*'Прайс'!$B$3,0),0)</f>
        <v/>
      </c>
      <c r="M71" s="100">
        <f t="array" ref="M71">IF(I71&lt;&gt;"",INDEX('Каталог'!$F:$F,MATCH(I71,'Каталог'!$A:$A,0)),"")</f>
        <v/>
      </c>
      <c r="N71" s="100">
        <f>IF(AND(E71&lt;&gt;"Продано",OR(K71&gt;0,M71&gt;0)),IFERROR(K71,0)+IFERROR(M71,0)+IFERROR(L71,0),"")</f>
        <v/>
      </c>
    </row>
    <row r="72" ht="15.75" customHeight="1" s="163">
      <c r="A72" s="99" t="n">
        <v>1611</v>
      </c>
      <c r="B72" s="99" t="inlineStr">
        <is>
          <t>Корабельная</t>
        </is>
      </c>
      <c r="C72" s="99" t="n"/>
      <c r="D72" s="99" t="n"/>
      <c r="E72" s="99" t="inlineStr">
        <is>
          <t>Продано</t>
        </is>
      </c>
      <c r="F72" s="99" t="inlineStr">
        <is>
          <t>Нет</t>
        </is>
      </c>
      <c r="G72" s="99" t="inlineStr">
        <is>
          <t>—</t>
        </is>
      </c>
      <c r="H72" s="104" t="inlineStr">
        <is>
          <t>—</t>
        </is>
      </c>
      <c r="I72" s="99" t="n"/>
      <c r="J72" s="100">
        <f t="array" ref="J72">IF(I72&lt;&gt;"",ROUND(INDEX('Каталог'!$F:$F,MATCH(I72,'Каталог'!$A:$A,0))/'Прайс'!$B$4,0),IFERROR(VLOOKUP(D72,'Прайс'!$A$7:$B$9,2,FALSE),'Прайс'!$B$2))</f>
        <v/>
      </c>
      <c r="K72" s="100">
        <f>IF(AND(C72&gt;0,J72&gt;0,E72&lt;&gt;"Продано"),ROUND(C72*J72,0),"")</f>
        <v/>
      </c>
      <c r="L72" s="100">
        <f>IF(AND(F72="Да",C72&gt;0,E72&lt;&gt;"Продано"),ROUND(C72*'Прайс'!$B$3,0),0)</f>
        <v/>
      </c>
      <c r="M72" s="100">
        <f t="array" ref="M72">IF(I72&lt;&gt;"",INDEX('Каталог'!$F:$F,MATCH(I72,'Каталог'!$A:$A,0)),"")</f>
        <v/>
      </c>
      <c r="N72" s="100">
        <f>IF(AND(E72&lt;&gt;"Продано",OR(K72&gt;0,M72&gt;0)),IFERROR(K72,0)+IFERROR(M72,0)+IFERROR(L72,0),"")</f>
        <v/>
      </c>
    </row>
    <row r="73" ht="15.75" customHeight="1" s="163">
      <c r="A73" s="99" t="n">
        <v>1612</v>
      </c>
      <c r="B73" s="99" t="inlineStr">
        <is>
          <t>Корабельная</t>
        </is>
      </c>
      <c r="C73" s="99" t="n"/>
      <c r="D73" s="99" t="n"/>
      <c r="E73" s="99" t="inlineStr">
        <is>
          <t>Продано</t>
        </is>
      </c>
      <c r="F73" s="99" t="inlineStr">
        <is>
          <t>Нет</t>
        </is>
      </c>
      <c r="G73" s="99" t="inlineStr">
        <is>
          <t>—</t>
        </is>
      </c>
      <c r="H73" s="104" t="inlineStr">
        <is>
          <t>—</t>
        </is>
      </c>
      <c r="I73" s="99" t="n"/>
      <c r="J73" s="100">
        <f t="array" ref="J73">IF(I73&lt;&gt;"",ROUND(INDEX('Каталог'!$F:$F,MATCH(I73,'Каталог'!$A:$A,0))/'Прайс'!$B$4,0),IFERROR(VLOOKUP(D73,'Прайс'!$A$7:$B$9,2,FALSE),'Прайс'!$B$2))</f>
        <v/>
      </c>
      <c r="K73" s="100">
        <f>IF(AND(C73&gt;0,J73&gt;0,E73&lt;&gt;"Продано"),ROUND(C73*J73,0),"")</f>
        <v/>
      </c>
      <c r="L73" s="100">
        <f>IF(AND(F73="Да",C73&gt;0,E73&lt;&gt;"Продано"),ROUND(C73*'Прайс'!$B$3,0),0)</f>
        <v/>
      </c>
      <c r="M73" s="100">
        <f t="array" ref="M73">IF(I73&lt;&gt;"",INDEX('Каталог'!$F:$F,MATCH(I73,'Каталог'!$A:$A,0)),"")</f>
        <v/>
      </c>
      <c r="N73" s="100">
        <f>IF(AND(E73&lt;&gt;"Продано",OR(K73&gt;0,M73&gt;0)),IFERROR(K73,0)+IFERROR(M73,0)+IFERROR(L73,0),"")</f>
        <v/>
      </c>
    </row>
    <row r="74" ht="15.75" customHeight="1" s="163">
      <c r="A74" s="99" t="n">
        <v>1613</v>
      </c>
      <c r="B74" s="99" t="inlineStr">
        <is>
          <t>Корабельная</t>
        </is>
      </c>
      <c r="C74" s="99" t="n"/>
      <c r="D74" s="99" t="n"/>
      <c r="E74" s="99" t="inlineStr">
        <is>
          <t>Продано</t>
        </is>
      </c>
      <c r="F74" s="99" t="inlineStr">
        <is>
          <t>Нет</t>
        </is>
      </c>
      <c r="G74" s="99" t="inlineStr">
        <is>
          <t>—</t>
        </is>
      </c>
      <c r="H74" s="104" t="inlineStr">
        <is>
          <t>—</t>
        </is>
      </c>
      <c r="I74" s="99" t="n"/>
      <c r="J74" s="100">
        <f t="array" ref="J74">IF(I74&lt;&gt;"",ROUND(INDEX('Каталог'!$F:$F,MATCH(I74,'Каталог'!$A:$A,0))/'Прайс'!$B$4,0),IFERROR(VLOOKUP(D74,'Прайс'!$A$7:$B$9,2,FALSE),'Прайс'!$B$2))</f>
        <v/>
      </c>
      <c r="K74" s="100">
        <f>IF(AND(C74&gt;0,J74&gt;0,E74&lt;&gt;"Продано"),ROUND(C74*J74,0),"")</f>
        <v/>
      </c>
      <c r="L74" s="100">
        <f>IF(AND(F74="Да",C74&gt;0,E74&lt;&gt;"Продано"),ROUND(C74*'Прайс'!$B$3,0),0)</f>
        <v/>
      </c>
      <c r="M74" s="100">
        <f t="array" ref="M74">IF(I74&lt;&gt;"",INDEX('Каталог'!$F:$F,MATCH(I74,'Каталог'!$A:$A,0)),"")</f>
        <v/>
      </c>
      <c r="N74" s="100">
        <f>IF(AND(E74&lt;&gt;"Продано",OR(K74&gt;0,M74&gt;0)),IFERROR(K74,0)+IFERROR(M74,0)+IFERROR(L74,0),"")</f>
        <v/>
      </c>
    </row>
    <row r="75" ht="15.75" customHeight="1" s="163">
      <c r="A75" s="99" t="n">
        <v>1614</v>
      </c>
      <c r="B75" s="99" t="inlineStr">
        <is>
          <t>Корабельная</t>
        </is>
      </c>
      <c r="C75" s="99" t="n"/>
      <c r="D75" s="99" t="n"/>
      <c r="E75" s="99" t="inlineStr">
        <is>
          <t>Продано</t>
        </is>
      </c>
      <c r="F75" s="99" t="inlineStr">
        <is>
          <t>Нет</t>
        </is>
      </c>
      <c r="G75" s="99" t="inlineStr">
        <is>
          <t>—</t>
        </is>
      </c>
      <c r="H75" s="104" t="inlineStr">
        <is>
          <t>—</t>
        </is>
      </c>
      <c r="I75" s="99" t="n"/>
      <c r="J75" s="100">
        <f t="array" ref="J75">IF(I75&lt;&gt;"",ROUND(INDEX('Каталог'!$F:$F,MATCH(I75,'Каталог'!$A:$A,0))/'Прайс'!$B$4,0),IFERROR(VLOOKUP(D75,'Прайс'!$A$7:$B$9,2,FALSE),'Прайс'!$B$2))</f>
        <v/>
      </c>
      <c r="K75" s="100">
        <f>IF(AND(C75&gt;0,J75&gt;0,E75&lt;&gt;"Продано"),ROUND(C75*J75,0),"")</f>
        <v/>
      </c>
      <c r="L75" s="100">
        <f>IF(AND(F75="Да",C75&gt;0,E75&lt;&gt;"Продано"),ROUND(C75*'Прайс'!$B$3,0),0)</f>
        <v/>
      </c>
      <c r="M75" s="100">
        <f t="array" ref="M75">IF(I75&lt;&gt;"",INDEX('Каталог'!$F:$F,MATCH(I75,'Каталог'!$A:$A,0)),"")</f>
        <v/>
      </c>
      <c r="N75" s="100">
        <f>IF(AND(E75&lt;&gt;"Продано",OR(K75&gt;0,M75&gt;0)),IFERROR(K75,0)+IFERROR(M75,0)+IFERROR(L75,0),"")</f>
        <v/>
      </c>
    </row>
    <row r="76" ht="15.75" customHeight="1" s="163">
      <c r="A76" s="99" t="n">
        <v>1615</v>
      </c>
      <c r="B76" s="99" t="inlineStr">
        <is>
          <t>Корабельная</t>
        </is>
      </c>
      <c r="C76" s="99" t="n"/>
      <c r="D76" s="99" t="n"/>
      <c r="E76" s="99" t="inlineStr">
        <is>
          <t>Продано</t>
        </is>
      </c>
      <c r="F76" s="99" t="inlineStr">
        <is>
          <t>Нет</t>
        </is>
      </c>
      <c r="G76" s="99" t="inlineStr">
        <is>
          <t>—</t>
        </is>
      </c>
      <c r="H76" s="104" t="inlineStr">
        <is>
          <t>—</t>
        </is>
      </c>
      <c r="I76" s="99" t="n"/>
      <c r="J76" s="100">
        <f t="array" ref="J76">IF(I76&lt;&gt;"",ROUND(INDEX('Каталог'!$F:$F,MATCH(I76,'Каталог'!$A:$A,0))/'Прайс'!$B$4,0),IFERROR(VLOOKUP(D76,'Прайс'!$A$7:$B$9,2,FALSE),'Прайс'!$B$2))</f>
        <v/>
      </c>
      <c r="K76" s="100">
        <f>IF(AND(C76&gt;0,J76&gt;0,E76&lt;&gt;"Продано"),ROUND(C76*J76,0),"")</f>
        <v/>
      </c>
      <c r="L76" s="100">
        <f>IF(AND(F76="Да",C76&gt;0,E76&lt;&gt;"Продано"),ROUND(C76*'Прайс'!$B$3,0),0)</f>
        <v/>
      </c>
      <c r="M76" s="100">
        <f t="array" ref="M76">IF(I76&lt;&gt;"",INDEX('Каталог'!$F:$F,MATCH(I76,'Каталог'!$A:$A,0)),"")</f>
        <v/>
      </c>
      <c r="N76" s="100">
        <f>IF(AND(E76&lt;&gt;"Продано",OR(K76&gt;0,M76&gt;0)),IFERROR(K76,0)+IFERROR(M76,0)+IFERROR(L76,0),"")</f>
        <v/>
      </c>
    </row>
    <row r="77" ht="15.75" customHeight="1" s="163">
      <c r="A77" s="99" t="n">
        <v>1616</v>
      </c>
      <c r="B77" s="99" t="inlineStr">
        <is>
          <t>Корабельная</t>
        </is>
      </c>
      <c r="C77" s="99" t="n"/>
      <c r="D77" s="99" t="n"/>
      <c r="E77" s="99" t="inlineStr">
        <is>
          <t>Продано</t>
        </is>
      </c>
      <c r="F77" s="99" t="inlineStr">
        <is>
          <t>Нет</t>
        </is>
      </c>
      <c r="G77" s="99" t="inlineStr">
        <is>
          <t>—</t>
        </is>
      </c>
      <c r="H77" s="104" t="inlineStr">
        <is>
          <t>—</t>
        </is>
      </c>
      <c r="I77" s="99" t="n"/>
      <c r="J77" s="100">
        <f t="array" ref="J77">IF(I77&lt;&gt;"",ROUND(INDEX('Каталог'!$F:$F,MATCH(I77,'Каталог'!$A:$A,0))/'Прайс'!$B$4,0),IFERROR(VLOOKUP(D77,'Прайс'!$A$7:$B$9,2,FALSE),'Прайс'!$B$2))</f>
        <v/>
      </c>
      <c r="K77" s="100">
        <f>IF(AND(C77&gt;0,J77&gt;0,E77&lt;&gt;"Продано"),ROUND(C77*J77,0),"")</f>
        <v/>
      </c>
      <c r="L77" s="100">
        <f>IF(AND(F77="Да",C77&gt;0,E77&lt;&gt;"Продано"),ROUND(C77*'Прайс'!$B$3,0),0)</f>
        <v/>
      </c>
      <c r="M77" s="100">
        <f t="array" ref="M77">IF(I77&lt;&gt;"",INDEX('Каталог'!$F:$F,MATCH(I77,'Каталог'!$A:$A,0)),"")</f>
        <v/>
      </c>
      <c r="N77" s="100">
        <f>IF(AND(E77&lt;&gt;"Продано",OR(K77&gt;0,M77&gt;0)),IFERROR(K77,0)+IFERROR(M77,0)+IFERROR(L77,0),"")</f>
        <v/>
      </c>
    </row>
    <row r="78" ht="15.75" customHeight="1" s="163">
      <c r="A78" s="99" t="n">
        <v>1617</v>
      </c>
      <c r="B78" s="99" t="inlineStr">
        <is>
          <t>Корабельная</t>
        </is>
      </c>
      <c r="C78" s="99" t="n"/>
      <c r="D78" s="99" t="n"/>
      <c r="E78" s="99" t="inlineStr">
        <is>
          <t>Продано</t>
        </is>
      </c>
      <c r="F78" s="99" t="inlineStr">
        <is>
          <t>Нет</t>
        </is>
      </c>
      <c r="G78" s="99" t="inlineStr">
        <is>
          <t>—</t>
        </is>
      </c>
      <c r="H78" s="104" t="inlineStr">
        <is>
          <t>—</t>
        </is>
      </c>
      <c r="I78" s="99" t="n"/>
      <c r="J78" s="100">
        <f t="array" ref="J78">IF(I78&lt;&gt;"",ROUND(INDEX('Каталог'!$F:$F,MATCH(I78,'Каталог'!$A:$A,0))/'Прайс'!$B$4,0),IFERROR(VLOOKUP(D78,'Прайс'!$A$7:$B$9,2,FALSE),'Прайс'!$B$2))</f>
        <v/>
      </c>
      <c r="K78" s="100">
        <f>IF(AND(C78&gt;0,J78&gt;0,E78&lt;&gt;"Продано"),ROUND(C78*J78,0),"")</f>
        <v/>
      </c>
      <c r="L78" s="100">
        <f>IF(AND(F78="Да",C78&gt;0,E78&lt;&gt;"Продано"),ROUND(C78*'Прайс'!$B$3,0),0)</f>
        <v/>
      </c>
      <c r="M78" s="100">
        <f t="array" ref="M78">IF(I78&lt;&gt;"",INDEX('Каталог'!$F:$F,MATCH(I78,'Каталог'!$A:$A,0)),"")</f>
        <v/>
      </c>
      <c r="N78" s="100">
        <f>IF(AND(E78&lt;&gt;"Продано",OR(K78&gt;0,M78&gt;0)),IFERROR(K78,0)+IFERROR(M78,0)+IFERROR(L78,0),"")</f>
        <v/>
      </c>
    </row>
    <row r="79" ht="15.75" customHeight="1" s="163">
      <c r="A79" s="99" t="n">
        <v>1618</v>
      </c>
      <c r="B79" s="99" t="inlineStr">
        <is>
          <t>Корабельная</t>
        </is>
      </c>
      <c r="C79" s="99" t="n">
        <v>500</v>
      </c>
      <c r="D79" s="99" t="n"/>
      <c r="E79" s="99" t="inlineStr">
        <is>
          <t>Продано</t>
        </is>
      </c>
      <c r="F79" s="99" t="inlineStr">
        <is>
          <t>Нет</t>
        </is>
      </c>
      <c r="G79" s="99" t="inlineStr">
        <is>
          <t>—</t>
        </is>
      </c>
      <c r="H79" s="104" t="inlineStr">
        <is>
          <t>—</t>
        </is>
      </c>
      <c r="I79" s="99" t="n"/>
      <c r="J79" s="100">
        <f t="array" ref="J79">IF(I79&lt;&gt;"",ROUND(INDEX('Каталог'!$F:$F,MATCH(I79,'Каталог'!$A:$A,0))/'Прайс'!$B$4,0),IFERROR(VLOOKUP(D79,'Прайс'!$A$7:$B$9,2,FALSE),'Прайс'!$B$2))</f>
        <v/>
      </c>
      <c r="K79" s="100">
        <f>IF(AND(C79&gt;0,J79&gt;0,E79&lt;&gt;"Продано"),ROUND(C79*J79,0),"")</f>
        <v/>
      </c>
      <c r="L79" s="100">
        <f>IF(AND(F79="Да",C79&gt;0,E79&lt;&gt;"Продано"),ROUND(C79*'Прайс'!$B$3,0),0)</f>
        <v/>
      </c>
      <c r="M79" s="100">
        <f t="array" ref="M79">IF(I79&lt;&gt;"",INDEX('Каталог'!$F:$F,MATCH(I79,'Каталог'!$A:$A,0)),"")</f>
        <v/>
      </c>
      <c r="N79" s="100">
        <f>IF(AND(E79&lt;&gt;"Продано",OR(K79&gt;0,M79&gt;0)),IFERROR(K79,0)+IFERROR(M79,0)+IFERROR(L79,0),"")</f>
        <v/>
      </c>
    </row>
    <row r="80" ht="15.75" customHeight="1" s="163">
      <c r="A80" s="99" t="n">
        <v>1619</v>
      </c>
      <c r="B80" s="99" t="inlineStr">
        <is>
          <t>Корабельная</t>
        </is>
      </c>
      <c r="C80" s="99" t="n">
        <v>500</v>
      </c>
      <c r="D80" s="99" t="n"/>
      <c r="E80" s="99" t="inlineStr">
        <is>
          <t>Продано</t>
        </is>
      </c>
      <c r="F80" s="99" t="inlineStr">
        <is>
          <t>Нет</t>
        </is>
      </c>
      <c r="G80" s="99" t="inlineStr">
        <is>
          <t>—</t>
        </is>
      </c>
      <c r="H80" s="104" t="inlineStr">
        <is>
          <t>—</t>
        </is>
      </c>
      <c r="I80" s="99" t="n"/>
      <c r="J80" s="100">
        <f t="array" ref="J80">IF(I80&lt;&gt;"",ROUND(INDEX('Каталог'!$F:$F,MATCH(I80,'Каталог'!$A:$A,0))/'Прайс'!$B$4,0),IFERROR(VLOOKUP(D80,'Прайс'!$A$7:$B$9,2,FALSE),'Прайс'!$B$2))</f>
        <v/>
      </c>
      <c r="K80" s="100">
        <f>IF(AND(C80&gt;0,J80&gt;0,E80&lt;&gt;"Продано"),ROUND(C80*J80,0),"")</f>
        <v/>
      </c>
      <c r="L80" s="100">
        <f>IF(AND(F80="Да",C80&gt;0,E80&lt;&gt;"Продано"),ROUND(C80*'Прайс'!$B$3,0),0)</f>
        <v/>
      </c>
      <c r="M80" s="100">
        <f t="array" ref="M80">IF(I80&lt;&gt;"",INDEX('Каталог'!$F:$F,MATCH(I80,'Каталог'!$A:$A,0)),"")</f>
        <v/>
      </c>
      <c r="N80" s="100">
        <f>IF(AND(E80&lt;&gt;"Продано",OR(K80&gt;0,M80&gt;0)),IFERROR(K80,0)+IFERROR(M80,0)+IFERROR(L80,0),"")</f>
        <v/>
      </c>
    </row>
    <row r="81" ht="15.75" customHeight="1" s="163">
      <c r="A81" s="99" t="n">
        <v>1620</v>
      </c>
      <c r="B81" s="99" t="inlineStr">
        <is>
          <t>Корабельная</t>
        </is>
      </c>
      <c r="C81" s="99" t="n">
        <v>500</v>
      </c>
      <c r="D81" s="99" t="n"/>
      <c r="E81" s="99" t="inlineStr">
        <is>
          <t>Продано</t>
        </is>
      </c>
      <c r="F81" s="99" t="inlineStr">
        <is>
          <t>Нет</t>
        </is>
      </c>
      <c r="G81" s="99" t="inlineStr">
        <is>
          <t>—</t>
        </is>
      </c>
      <c r="H81" s="104" t="inlineStr">
        <is>
          <t>—</t>
        </is>
      </c>
      <c r="I81" s="99" t="n"/>
      <c r="J81" s="100">
        <f t="array" ref="J81">IF(I81&lt;&gt;"",ROUND(INDEX('Каталог'!$F:$F,MATCH(I81,'Каталог'!$A:$A,0))/'Прайс'!$B$4,0),IFERROR(VLOOKUP(D81,'Прайс'!$A$7:$B$9,2,FALSE),'Прайс'!$B$2))</f>
        <v/>
      </c>
      <c r="K81" s="100">
        <f>IF(AND(C81&gt;0,J81&gt;0,E81&lt;&gt;"Продано"),ROUND(C81*J81,0),"")</f>
        <v/>
      </c>
      <c r="L81" s="100">
        <f>IF(AND(F81="Да",C81&gt;0,E81&lt;&gt;"Продано"),ROUND(C81*'Прайс'!$B$3,0),0)</f>
        <v/>
      </c>
      <c r="M81" s="100">
        <f t="array" ref="M81">IF(I81&lt;&gt;"",INDEX('Каталог'!$F:$F,MATCH(I81,'Каталог'!$A:$A,0)),"")</f>
        <v/>
      </c>
      <c r="N81" s="100">
        <f>IF(AND(E81&lt;&gt;"Продано",OR(K81&gt;0,M81&gt;0)),IFERROR(K81,0)+IFERROR(M81,0)+IFERROR(L81,0),"")</f>
        <v/>
      </c>
    </row>
    <row r="82" ht="15.75" customHeight="1" s="163">
      <c r="A82" s="99" t="n">
        <v>1621</v>
      </c>
      <c r="B82" s="99" t="inlineStr">
        <is>
          <t>Корабельная</t>
        </is>
      </c>
      <c r="C82" s="99" t="n">
        <v>500</v>
      </c>
      <c r="D82" s="99" t="n"/>
      <c r="E82" s="99" t="inlineStr">
        <is>
          <t>Продано</t>
        </is>
      </c>
      <c r="F82" s="99" t="inlineStr">
        <is>
          <t>Нет</t>
        </is>
      </c>
      <c r="G82" s="99" t="inlineStr">
        <is>
          <t>—</t>
        </is>
      </c>
      <c r="H82" s="104" t="inlineStr">
        <is>
          <t>—</t>
        </is>
      </c>
      <c r="I82" s="99" t="n"/>
      <c r="J82" s="100">
        <f t="array" ref="J82">IF(I82&lt;&gt;"",ROUND(INDEX('Каталог'!$F:$F,MATCH(I82,'Каталог'!$A:$A,0))/'Прайс'!$B$4,0),IFERROR(VLOOKUP(D82,'Прайс'!$A$7:$B$9,2,FALSE),'Прайс'!$B$2))</f>
        <v/>
      </c>
      <c r="K82" s="100">
        <f>IF(AND(C82&gt;0,J82&gt;0,E82&lt;&gt;"Продано"),ROUND(C82*J82,0),"")</f>
        <v/>
      </c>
      <c r="L82" s="100">
        <f>IF(AND(F82="Да",C82&gt;0,E82&lt;&gt;"Продано"),ROUND(C82*'Прайс'!$B$3,0),0)</f>
        <v/>
      </c>
      <c r="M82" s="100">
        <f t="array" ref="M82">IF(I82&lt;&gt;"",INDEX('Каталог'!$F:$F,MATCH(I82,'Каталог'!$A:$A,0)),"")</f>
        <v/>
      </c>
      <c r="N82" s="100">
        <f>IF(AND(E82&lt;&gt;"Продано",OR(K82&gt;0,M82&gt;0)),IFERROR(K82,0)+IFERROR(M82,0)+IFERROR(L82,0),"")</f>
        <v/>
      </c>
    </row>
    <row r="83" ht="15.75" customHeight="1" s="163">
      <c r="A83" s="99" t="n">
        <v>1622</v>
      </c>
      <c r="B83" s="99" t="inlineStr">
        <is>
          <t>Корабельная</t>
        </is>
      </c>
      <c r="C83" s="99" t="n">
        <v>500</v>
      </c>
      <c r="D83" s="99" t="n"/>
      <c r="E83" s="99" t="inlineStr">
        <is>
          <t>Продано</t>
        </is>
      </c>
      <c r="F83" s="99" t="inlineStr">
        <is>
          <t>Нет</t>
        </is>
      </c>
      <c r="G83" s="99" t="inlineStr">
        <is>
          <t>—</t>
        </is>
      </c>
      <c r="H83" s="104" t="inlineStr">
        <is>
          <t>—</t>
        </is>
      </c>
      <c r="I83" s="99" t="n"/>
      <c r="J83" s="100">
        <f t="array" ref="J83">IF(I83&lt;&gt;"",ROUND(INDEX('Каталог'!$F:$F,MATCH(I83,'Каталог'!$A:$A,0))/'Прайс'!$B$4,0),IFERROR(VLOOKUP(D83,'Прайс'!$A$7:$B$9,2,FALSE),'Прайс'!$B$2))</f>
        <v/>
      </c>
      <c r="K83" s="100">
        <f>IF(AND(C83&gt;0,J83&gt;0,E83&lt;&gt;"Продано"),ROUND(C83*J83,0),"")</f>
        <v/>
      </c>
      <c r="L83" s="100">
        <f>IF(AND(F83="Да",C83&gt;0,E83&lt;&gt;"Продано"),ROUND(C83*'Прайс'!$B$3,0),0)</f>
        <v/>
      </c>
      <c r="M83" s="100">
        <f t="array" ref="M83">IF(I83&lt;&gt;"",INDEX('Каталог'!$F:$F,MATCH(I83,'Каталог'!$A:$A,0)),"")</f>
        <v/>
      </c>
      <c r="N83" s="100">
        <f>IF(AND(E83&lt;&gt;"Продано",OR(K83&gt;0,M83&gt;0)),IFERROR(K83,0)+IFERROR(M83,0)+IFERROR(L83,0),"")</f>
        <v/>
      </c>
    </row>
    <row r="84" ht="15.75" customHeight="1" s="163">
      <c r="A84" s="99" t="n">
        <v>1623</v>
      </c>
      <c r="B84" s="99" t="inlineStr">
        <is>
          <t>Корабельная</t>
        </is>
      </c>
      <c r="C84" s="99" t="n">
        <v>500</v>
      </c>
      <c r="D84" s="99" t="n"/>
      <c r="E84" s="99" t="inlineStr">
        <is>
          <t>Продано</t>
        </is>
      </c>
      <c r="F84" s="99" t="inlineStr">
        <is>
          <t>Нет</t>
        </is>
      </c>
      <c r="G84" s="99" t="inlineStr">
        <is>
          <t>—</t>
        </is>
      </c>
      <c r="H84" s="104" t="inlineStr">
        <is>
          <t>—</t>
        </is>
      </c>
      <c r="I84" s="99" t="n"/>
      <c r="J84" s="100">
        <f t="array" ref="J84">IF(I84&lt;&gt;"",ROUND(INDEX('Каталог'!$F:$F,MATCH(I84,'Каталог'!$A:$A,0))/'Прайс'!$B$4,0),IFERROR(VLOOKUP(D84,'Прайс'!$A$7:$B$9,2,FALSE),'Прайс'!$B$2))</f>
        <v/>
      </c>
      <c r="K84" s="100">
        <f>IF(AND(C84&gt;0,J84&gt;0,E84&lt;&gt;"Продано"),ROUND(C84*J84,0),"")</f>
        <v/>
      </c>
      <c r="L84" s="100">
        <f>IF(AND(F84="Да",C84&gt;0,E84&lt;&gt;"Продано"),ROUND(C84*'Прайс'!$B$3,0),0)</f>
        <v/>
      </c>
      <c r="M84" s="100">
        <f t="array" ref="M84">IF(I84&lt;&gt;"",INDEX('Каталог'!$F:$F,MATCH(I84,'Каталог'!$A:$A,0)),"")</f>
        <v/>
      </c>
      <c r="N84" s="100">
        <f>IF(AND(E84&lt;&gt;"Продано",OR(K84&gt;0,M84&gt;0)),IFERROR(K84,0)+IFERROR(M84,0)+IFERROR(L84,0),"")</f>
        <v/>
      </c>
    </row>
    <row r="85" ht="15.75" customHeight="1" s="163">
      <c r="A85" s="99" t="n">
        <v>1624</v>
      </c>
      <c r="B85" s="99" t="inlineStr">
        <is>
          <t>Корабельная</t>
        </is>
      </c>
      <c r="C85" s="99" t="n">
        <v>500</v>
      </c>
      <c r="D85" s="99" t="n"/>
      <c r="E85" s="99" t="inlineStr">
        <is>
          <t>Продано</t>
        </is>
      </c>
      <c r="F85" s="99" t="inlineStr">
        <is>
          <t>Нет</t>
        </is>
      </c>
      <c r="G85" s="99" t="inlineStr">
        <is>
          <t>—</t>
        </is>
      </c>
      <c r="H85" s="104" t="inlineStr">
        <is>
          <t>—</t>
        </is>
      </c>
      <c r="I85" s="99" t="n"/>
      <c r="J85" s="100">
        <f t="array" ref="J85">IF(I85&lt;&gt;"",ROUND(INDEX('Каталог'!$F:$F,MATCH(I85,'Каталог'!$A:$A,0))/'Прайс'!$B$4,0),IFERROR(VLOOKUP(D85,'Прайс'!$A$7:$B$9,2,FALSE),'Прайс'!$B$2))</f>
        <v/>
      </c>
      <c r="K85" s="100">
        <f>IF(AND(C85&gt;0,J85&gt;0,E85&lt;&gt;"Продано"),ROUND(C85*J85,0),"")</f>
        <v/>
      </c>
      <c r="L85" s="100">
        <f>IF(AND(F85="Да",C85&gt;0,E85&lt;&gt;"Продано"),ROUND(C85*'Прайс'!$B$3,0),0)</f>
        <v/>
      </c>
      <c r="M85" s="100">
        <f t="array" ref="M85">IF(I85&lt;&gt;"",INDEX('Каталог'!$F:$F,MATCH(I85,'Каталог'!$A:$A,0)),"")</f>
        <v/>
      </c>
      <c r="N85" s="100">
        <f>IF(AND(E85&lt;&gt;"Продано",OR(K85&gt;0,M85&gt;0)),IFERROR(K85,0)+IFERROR(M85,0)+IFERROR(L85,0),"")</f>
        <v/>
      </c>
    </row>
    <row r="86" ht="15.75" customHeight="1" s="163">
      <c r="A86" s="99" t="n">
        <v>1625</v>
      </c>
      <c r="B86" s="99" t="inlineStr">
        <is>
          <t>Корабельная</t>
        </is>
      </c>
      <c r="C86" s="99" t="n">
        <v>674</v>
      </c>
      <c r="D86" s="99" t="n"/>
      <c r="E86" s="99" t="inlineStr">
        <is>
          <t>Продано</t>
        </is>
      </c>
      <c r="F86" s="99" t="inlineStr">
        <is>
          <t>Да</t>
        </is>
      </c>
      <c r="G86" s="99" t="inlineStr">
        <is>
          <t>—</t>
        </is>
      </c>
      <c r="H86" s="104" t="inlineStr">
        <is>
          <t>—</t>
        </is>
      </c>
      <c r="I86" s="99" t="n"/>
      <c r="J86" s="100">
        <f t="array" ref="J86">IF(I86&lt;&gt;"",ROUND(INDEX('Каталог'!$F:$F,MATCH(I86,'Каталог'!$A:$A,0))/'Прайс'!$B$4,0),IFERROR(VLOOKUP(D86,'Прайс'!$A$7:$B$9,2,FALSE),'Прайс'!$B$2))</f>
        <v/>
      </c>
      <c r="K86" s="100">
        <f>IF(AND(C86&gt;0,J86&gt;0,E86&lt;&gt;"Продано"),ROUND(C86*J86,0),"")</f>
        <v/>
      </c>
      <c r="L86" s="100">
        <f>IF(AND(F86="Да",C86&gt;0,E86&lt;&gt;"Продано"),ROUND(C86*'Прайс'!$B$3,0),0)</f>
        <v/>
      </c>
      <c r="M86" s="100">
        <f t="array" ref="M86">IF(I86&lt;&gt;"",INDEX('Каталог'!$F:$F,MATCH(I86,'Каталог'!$A:$A,0)),"")</f>
        <v/>
      </c>
      <c r="N86" s="100">
        <f>IF(AND(E86&lt;&gt;"Продано",OR(K86&gt;0,M86&gt;0)),IFERROR(K86,0)+IFERROR(M86,0)+IFERROR(L86,0),"")</f>
        <v/>
      </c>
    </row>
    <row r="87" ht="15.75" customHeight="1" s="163">
      <c r="A87" s="99" t="n">
        <v>1630</v>
      </c>
      <c r="B87" s="99" t="inlineStr">
        <is>
          <t>Корабельная</t>
        </is>
      </c>
      <c r="C87" s="99" t="n">
        <v>500</v>
      </c>
      <c r="D87" s="99" t="n"/>
      <c r="E87" s="99" t="inlineStr">
        <is>
          <t>Продано</t>
        </is>
      </c>
      <c r="F87" s="99" t="inlineStr">
        <is>
          <t>Нет</t>
        </is>
      </c>
      <c r="G87" s="99" t="inlineStr">
        <is>
          <t>—</t>
        </is>
      </c>
      <c r="H87" s="104" t="inlineStr">
        <is>
          <t>—</t>
        </is>
      </c>
      <c r="I87" s="99" t="n"/>
      <c r="J87" s="100">
        <f t="array" ref="J87">IF(I87&lt;&gt;"",ROUND(INDEX('Каталог'!$F:$F,MATCH(I87,'Каталог'!$A:$A,0))/'Прайс'!$B$4,0),IFERROR(VLOOKUP(D87,'Прайс'!$A$7:$B$9,2,FALSE),'Прайс'!$B$2))</f>
        <v/>
      </c>
      <c r="K87" s="100">
        <f>IF(AND(C87&gt;0,J87&gt;0,E87&lt;&gt;"Продано"),ROUND(C87*J87,0),"")</f>
        <v/>
      </c>
      <c r="L87" s="100">
        <f>IF(AND(F87="Да",C87&gt;0,E87&lt;&gt;"Продано"),ROUND(C87*'Прайс'!$B$3,0),0)</f>
        <v/>
      </c>
      <c r="M87" s="100">
        <f t="array" ref="M87">IF(I87&lt;&gt;"",INDEX('Каталог'!$F:$F,MATCH(I87,'Каталог'!$A:$A,0)),"")</f>
        <v/>
      </c>
      <c r="N87" s="100">
        <f>IF(AND(E87&lt;&gt;"Продано",OR(K87&gt;0,M87&gt;0)),IFERROR(K87,0)+IFERROR(M87,0)+IFERROR(L87,0),"")</f>
        <v/>
      </c>
    </row>
    <row r="88" ht="15.75" customHeight="1" s="163">
      <c r="A88" s="99" t="n">
        <v>1631</v>
      </c>
      <c r="B88" s="99" t="inlineStr">
        <is>
          <t>Корабельная</t>
        </is>
      </c>
      <c r="C88" s="99" t="n">
        <v>500</v>
      </c>
      <c r="D88" s="99" t="n"/>
      <c r="E88" s="99" t="inlineStr">
        <is>
          <t>Продано</t>
        </is>
      </c>
      <c r="F88" s="99" t="inlineStr">
        <is>
          <t>Нет</t>
        </is>
      </c>
      <c r="G88" s="99" t="inlineStr">
        <is>
          <t>—</t>
        </is>
      </c>
      <c r="H88" s="104" t="inlineStr">
        <is>
          <t>—</t>
        </is>
      </c>
      <c r="I88" s="99" t="n"/>
      <c r="J88" s="100">
        <f t="array" ref="J88">IF(I88&lt;&gt;"",ROUND(INDEX('Каталог'!$F:$F,MATCH(I88,'Каталог'!$A:$A,0))/'Прайс'!$B$4,0),IFERROR(VLOOKUP(D88,'Прайс'!$A$7:$B$9,2,FALSE),'Прайс'!$B$2))</f>
        <v/>
      </c>
      <c r="K88" s="100">
        <f>IF(AND(C88&gt;0,J88&gt;0,E88&lt;&gt;"Продано"),ROUND(C88*J88,0),"")</f>
        <v/>
      </c>
      <c r="L88" s="100">
        <f>IF(AND(F88="Да",C88&gt;0,E88&lt;&gt;"Продано"),ROUND(C88*'Прайс'!$B$3,0),0)</f>
        <v/>
      </c>
      <c r="M88" s="100">
        <f t="array" ref="M88">IF(I88&lt;&gt;"",INDEX('Каталог'!$F:$F,MATCH(I88,'Каталог'!$A:$A,0)),"")</f>
        <v/>
      </c>
      <c r="N88" s="100">
        <f>IF(AND(E88&lt;&gt;"Продано",OR(K88&gt;0,M88&gt;0)),IFERROR(K88,0)+IFERROR(M88,0)+IFERROR(L88,0),"")</f>
        <v/>
      </c>
    </row>
    <row r="89" ht="15.75" customHeight="1" s="163">
      <c r="A89" s="99" t="n">
        <v>1633</v>
      </c>
      <c r="B89" s="99" t="inlineStr">
        <is>
          <t>Корабельная</t>
        </is>
      </c>
      <c r="C89" s="99" t="n">
        <v>700</v>
      </c>
      <c r="D89" s="99" t="n"/>
      <c r="E89" s="99" t="inlineStr">
        <is>
          <t>Продано</t>
        </is>
      </c>
      <c r="F89" s="99" t="inlineStr">
        <is>
          <t>Да</t>
        </is>
      </c>
      <c r="G89" s="99" t="inlineStr">
        <is>
          <t>—</t>
        </is>
      </c>
      <c r="H89" s="104" t="inlineStr">
        <is>
          <t>—</t>
        </is>
      </c>
      <c r="I89" s="99" t="n"/>
      <c r="J89" s="100">
        <f t="array" ref="J89">IF(I89&lt;&gt;"",ROUND(INDEX('Каталог'!$F:$F,MATCH(I89,'Каталог'!$A:$A,0))/'Прайс'!$B$4,0),IFERROR(VLOOKUP(D89,'Прайс'!$A$7:$B$9,2,FALSE),'Прайс'!$B$2))</f>
        <v/>
      </c>
      <c r="K89" s="100">
        <f>IF(AND(C89&gt;0,J89&gt;0,E89&lt;&gt;"Продано"),ROUND(C89*J89,0),"")</f>
        <v/>
      </c>
      <c r="L89" s="100">
        <f>IF(AND(F89="Да",C89&gt;0,E89&lt;&gt;"Продано"),ROUND(C89*'Прайс'!$B$3,0),0)</f>
        <v/>
      </c>
      <c r="M89" s="100">
        <f t="array" ref="M89">IF(I89&lt;&gt;"",INDEX('Каталог'!$F:$F,MATCH(I89,'Каталог'!$A:$A,0)),"")</f>
        <v/>
      </c>
      <c r="N89" s="100">
        <f>IF(AND(E89&lt;&gt;"Продано",OR(K89&gt;0,M89&gt;0)),IFERROR(K89,0)+IFERROR(M89,0)+IFERROR(L89,0),"")</f>
        <v/>
      </c>
    </row>
    <row r="90" ht="15.75" customHeight="1" s="163">
      <c r="A90" s="99" t="n">
        <v>1636</v>
      </c>
      <c r="B90" s="99" t="inlineStr">
        <is>
          <t>Корабельная</t>
        </is>
      </c>
      <c r="C90" s="99" t="n">
        <v>500</v>
      </c>
      <c r="D90" s="99" t="n"/>
      <c r="E90" s="99" t="inlineStr">
        <is>
          <t>Продано</t>
        </is>
      </c>
      <c r="F90" s="99" t="inlineStr">
        <is>
          <t>Нет</t>
        </is>
      </c>
      <c r="G90" s="99" t="inlineStr">
        <is>
          <t>—</t>
        </is>
      </c>
      <c r="H90" s="104" t="inlineStr">
        <is>
          <t>—</t>
        </is>
      </c>
      <c r="I90" s="99" t="n"/>
      <c r="J90" s="100">
        <f t="array" ref="J90">IF(I90&lt;&gt;"",ROUND(INDEX('Каталог'!$F:$F,MATCH(I90,'Каталог'!$A:$A,0))/'Прайс'!$B$4,0),IFERROR(VLOOKUP(D90,'Прайс'!$A$7:$B$9,2,FALSE),'Прайс'!$B$2))</f>
        <v/>
      </c>
      <c r="K90" s="100">
        <f>IF(AND(C90&gt;0,J90&gt;0,E90&lt;&gt;"Продано"),ROUND(C90*J90,0),"")</f>
        <v/>
      </c>
      <c r="L90" s="100">
        <f>IF(AND(F90="Да",C90&gt;0,E90&lt;&gt;"Продано"),ROUND(C90*'Прайс'!$B$3,0),0)</f>
        <v/>
      </c>
      <c r="M90" s="100">
        <f t="array" ref="M90">IF(I90&lt;&gt;"",INDEX('Каталог'!$F:$F,MATCH(I90,'Каталог'!$A:$A,0)),"")</f>
        <v/>
      </c>
      <c r="N90" s="100">
        <f>IF(AND(E90&lt;&gt;"Продано",OR(K90&gt;0,M90&gt;0)),IFERROR(K90,0)+IFERROR(M90,0)+IFERROR(L90,0),"")</f>
        <v/>
      </c>
    </row>
    <row r="91" ht="15.75" customHeight="1" s="163">
      <c r="A91" s="99" t="n">
        <v>1637</v>
      </c>
      <c r="B91" s="99" t="inlineStr">
        <is>
          <t>Корабельная</t>
        </is>
      </c>
      <c r="C91" s="99" t="n">
        <v>500</v>
      </c>
      <c r="D91" s="99" t="n"/>
      <c r="E91" s="99" t="inlineStr">
        <is>
          <t>Продано</t>
        </is>
      </c>
      <c r="F91" s="99" t="inlineStr">
        <is>
          <t>Нет</t>
        </is>
      </c>
      <c r="G91" s="99" t="inlineStr">
        <is>
          <t>—</t>
        </is>
      </c>
      <c r="H91" s="104" t="inlineStr">
        <is>
          <t>—</t>
        </is>
      </c>
      <c r="I91" s="99" t="n"/>
      <c r="J91" s="100">
        <f t="array" ref="J91">IF(I91&lt;&gt;"",ROUND(INDEX('Каталог'!$F:$F,MATCH(I91,'Каталог'!$A:$A,0))/'Прайс'!$B$4,0),IFERROR(VLOOKUP(D91,'Прайс'!$A$7:$B$9,2,FALSE),'Прайс'!$B$2))</f>
        <v/>
      </c>
      <c r="K91" s="100">
        <f>IF(AND(C91&gt;0,J91&gt;0,E91&lt;&gt;"Продано"),ROUND(C91*J91,0),"")</f>
        <v/>
      </c>
      <c r="L91" s="100">
        <f>IF(AND(F91="Да",C91&gt;0,E91&lt;&gt;"Продано"),ROUND(C91*'Прайс'!$B$3,0),0)</f>
        <v/>
      </c>
      <c r="M91" s="100">
        <f t="array" ref="M91">IF(I91&lt;&gt;"",INDEX('Каталог'!$F:$F,MATCH(I91,'Каталог'!$A:$A,0)),"")</f>
        <v/>
      </c>
      <c r="N91" s="100">
        <f>IF(AND(E91&lt;&gt;"Продано",OR(K91&gt;0,M91&gt;0)),IFERROR(K91,0)+IFERROR(M91,0)+IFERROR(L91,0),"")</f>
        <v/>
      </c>
    </row>
    <row r="92" ht="15.75" customHeight="1" s="163">
      <c r="A92" s="99" t="n">
        <v>1638</v>
      </c>
      <c r="B92" s="99" t="inlineStr">
        <is>
          <t>Корабельная</t>
        </is>
      </c>
      <c r="C92" s="99" t="n">
        <v>500</v>
      </c>
      <c r="D92" s="99" t="n"/>
      <c r="E92" s="99" t="inlineStr">
        <is>
          <t>Продано</t>
        </is>
      </c>
      <c r="F92" s="99" t="inlineStr">
        <is>
          <t>Нет</t>
        </is>
      </c>
      <c r="G92" s="99" t="inlineStr">
        <is>
          <t>—</t>
        </is>
      </c>
      <c r="H92" s="104" t="inlineStr">
        <is>
          <t>—</t>
        </is>
      </c>
      <c r="I92" s="99" t="n"/>
      <c r="J92" s="100">
        <f t="array" ref="J92">IF(I92&lt;&gt;"",ROUND(INDEX('Каталог'!$F:$F,MATCH(I92,'Каталог'!$A:$A,0))/'Прайс'!$B$4,0),IFERROR(VLOOKUP(D92,'Прайс'!$A$7:$B$9,2,FALSE),'Прайс'!$B$2))</f>
        <v/>
      </c>
      <c r="K92" s="100">
        <f>IF(AND(C92&gt;0,J92&gt;0,E92&lt;&gt;"Продано"),ROUND(C92*J92,0),"")</f>
        <v/>
      </c>
      <c r="L92" s="100">
        <f>IF(AND(F92="Да",C92&gt;0,E92&lt;&gt;"Продано"),ROUND(C92*'Прайс'!$B$3,0),0)</f>
        <v/>
      </c>
      <c r="M92" s="100">
        <f t="array" ref="M92">IF(I92&lt;&gt;"",INDEX('Каталог'!$F:$F,MATCH(I92,'Каталог'!$A:$A,0)),"")</f>
        <v/>
      </c>
      <c r="N92" s="100">
        <f>IF(AND(E92&lt;&gt;"Продано",OR(K92&gt;0,M92&gt;0)),IFERROR(K92,0)+IFERROR(M92,0)+IFERROR(L92,0),"")</f>
        <v/>
      </c>
    </row>
    <row r="93" ht="15.75" customHeight="1" s="163">
      <c r="A93" s="99" t="n">
        <v>1639</v>
      </c>
      <c r="B93" s="99" t="inlineStr">
        <is>
          <t>Корабельная</t>
        </is>
      </c>
      <c r="C93" s="99" t="n">
        <v>500</v>
      </c>
      <c r="D93" s="99" t="n"/>
      <c r="E93" s="99" t="inlineStr">
        <is>
          <t>Продано</t>
        </is>
      </c>
      <c r="F93" s="99" t="inlineStr">
        <is>
          <t>Нет</t>
        </is>
      </c>
      <c r="G93" s="99" t="inlineStr">
        <is>
          <t>—</t>
        </is>
      </c>
      <c r="H93" s="104" t="inlineStr">
        <is>
          <t>—</t>
        </is>
      </c>
      <c r="I93" s="99" t="n"/>
      <c r="J93" s="100">
        <f t="array" ref="J93">IF(I93&lt;&gt;"",ROUND(INDEX('Каталог'!$F:$F,MATCH(I93,'Каталог'!$A:$A,0))/'Прайс'!$B$4,0),IFERROR(VLOOKUP(D93,'Прайс'!$A$7:$B$9,2,FALSE),'Прайс'!$B$2))</f>
        <v/>
      </c>
      <c r="K93" s="100">
        <f>IF(AND(C93&gt;0,J93&gt;0,E93&lt;&gt;"Продано"),ROUND(C93*J93,0),"")</f>
        <v/>
      </c>
      <c r="L93" s="100">
        <f>IF(AND(F93="Да",C93&gt;0,E93&lt;&gt;"Продано"),ROUND(C93*'Прайс'!$B$3,0),0)</f>
        <v/>
      </c>
      <c r="M93" s="100">
        <f t="array" ref="M93">IF(I93&lt;&gt;"",INDEX('Каталог'!$F:$F,MATCH(I93,'Каталог'!$A:$A,0)),"")</f>
        <v/>
      </c>
      <c r="N93" s="100">
        <f>IF(AND(E93&lt;&gt;"Продано",OR(K93&gt;0,M93&gt;0)),IFERROR(K93,0)+IFERROR(M93,0)+IFERROR(L93,0),"")</f>
        <v/>
      </c>
    </row>
    <row r="94" ht="15.75" customHeight="1" s="163">
      <c r="A94" s="99" t="n">
        <v>1640</v>
      </c>
      <c r="B94" s="99" t="inlineStr">
        <is>
          <t>Корабельная</t>
        </is>
      </c>
      <c r="C94" s="99" t="n">
        <v>781</v>
      </c>
      <c r="D94" s="99" t="n"/>
      <c r="E94" s="99" t="inlineStr">
        <is>
          <t>Продано</t>
        </is>
      </c>
      <c r="F94" s="99" t="inlineStr">
        <is>
          <t>Да</t>
        </is>
      </c>
      <c r="G94" s="99" t="inlineStr">
        <is>
          <t>—</t>
        </is>
      </c>
      <c r="H94" s="104" t="inlineStr">
        <is>
          <t>—</t>
        </is>
      </c>
      <c r="I94" s="99" t="n"/>
      <c r="J94" s="100">
        <f t="array" ref="J94">IF(I94&lt;&gt;"",ROUND(INDEX('Каталог'!$F:$F,MATCH(I94,'Каталог'!$A:$A,0))/'Прайс'!$B$4,0),IFERROR(VLOOKUP(D94,'Прайс'!$A$7:$B$9,2,FALSE),'Прайс'!$B$2))</f>
        <v/>
      </c>
      <c r="K94" s="100">
        <f>IF(AND(C94&gt;0,J94&gt;0,E94&lt;&gt;"Продано"),ROUND(C94*J94,0),"")</f>
        <v/>
      </c>
      <c r="L94" s="100">
        <f>IF(AND(F94="Да",C94&gt;0,E94&lt;&gt;"Продано"),ROUND(C94*'Прайс'!$B$3,0),0)</f>
        <v/>
      </c>
      <c r="M94" s="100">
        <f t="array" ref="M94">IF(I94&lt;&gt;"",INDEX('Каталог'!$F:$F,MATCH(I94,'Каталог'!$A:$A,0)),"")</f>
        <v/>
      </c>
      <c r="N94" s="100">
        <f>IF(AND(E94&lt;&gt;"Продано",OR(K94&gt;0,M94&gt;0)),IFERROR(K94,0)+IFERROR(M94,0)+IFERROR(L94,0),"")</f>
        <v/>
      </c>
    </row>
    <row r="95" ht="15.75" customHeight="1" s="163">
      <c r="A95" s="99" t="n">
        <v>1641</v>
      </c>
      <c r="B95" s="99" t="inlineStr">
        <is>
          <t>Корабельная</t>
        </is>
      </c>
      <c r="C95" s="99" t="n">
        <v>787</v>
      </c>
      <c r="D95" s="99" t="n"/>
      <c r="E95" s="99" t="inlineStr">
        <is>
          <t>Продано</t>
        </is>
      </c>
      <c r="F95" s="99" t="inlineStr">
        <is>
          <t>Да</t>
        </is>
      </c>
      <c r="G95" s="99" t="inlineStr">
        <is>
          <t>—</t>
        </is>
      </c>
      <c r="H95" s="104" t="inlineStr">
        <is>
          <t>—</t>
        </is>
      </c>
      <c r="I95" s="99" t="n"/>
      <c r="J95" s="100">
        <f t="array" ref="J95">IF(I95&lt;&gt;"",ROUND(INDEX('Каталог'!$F:$F,MATCH(I95,'Каталог'!$A:$A,0))/'Прайс'!$B$4,0),IFERROR(VLOOKUP(D95,'Прайс'!$A$7:$B$9,2,FALSE),'Прайс'!$B$2))</f>
        <v/>
      </c>
      <c r="K95" s="100">
        <f>IF(AND(C95&gt;0,J95&gt;0,E95&lt;&gt;"Продано"),ROUND(C95*J95,0),"")</f>
        <v/>
      </c>
      <c r="L95" s="100">
        <f>IF(AND(F95="Да",C95&gt;0,E95&lt;&gt;"Продано"),ROUND(C95*'Прайс'!$B$3,0),0)</f>
        <v/>
      </c>
      <c r="M95" s="100">
        <f t="array" ref="M95">IF(I95&lt;&gt;"",INDEX('Каталог'!$F:$F,MATCH(I95,'Каталог'!$A:$A,0)),"")</f>
        <v/>
      </c>
      <c r="N95" s="100">
        <f>IF(AND(E95&lt;&gt;"Продано",OR(K95&gt;0,M95&gt;0)),IFERROR(K95,0)+IFERROR(M95,0)+IFERROR(L95,0),"")</f>
        <v/>
      </c>
    </row>
    <row r="96" ht="15.75" customHeight="1" s="163">
      <c r="A96" s="99" t="n">
        <v>1642</v>
      </c>
      <c r="B96" s="99" t="inlineStr">
        <is>
          <t>Айвазовского</t>
        </is>
      </c>
      <c r="C96" s="99" t="n">
        <v>699</v>
      </c>
      <c r="D96" s="99" t="inlineStr">
        <is>
          <t>Виноградники / лиман / вулканы</t>
        </is>
      </c>
      <c r="E96" s="99" t="inlineStr">
        <is>
          <t>Свободно</t>
        </is>
      </c>
      <c r="F96" s="99" t="inlineStr">
        <is>
          <t>Да</t>
        </is>
      </c>
      <c r="G96" s="99" t="inlineStr">
        <is>
          <t>1 ф ВЛВ / 2 ф ВЛВ</t>
        </is>
      </c>
      <c r="H96" s="104" t="inlineStr">
        <is>
          <t>1 эт.: Костеро, Линия 40, Линия 72, Логос, Логос мини, Арбор, Баня | 2 эт.: Палаццо, Эдем, Вилла Маре</t>
        </is>
      </c>
      <c r="I96" s="99" t="n"/>
      <c r="J96" s="100">
        <f t="array" ref="J96">IF(I96&lt;&gt;"",ROUND(INDEX('Каталог'!$F:$F,MATCH(I96,'Каталог'!$A:$A,0))/'Прайс'!$B$4,0),IFERROR(VLOOKUP(D96,'Прайс'!$A$7:$B$9,2,FALSE),'Прайс'!$B$2))</f>
        <v/>
      </c>
      <c r="K96" s="100">
        <f>IF(AND(C96&gt;0,J96&gt;0,E96&lt;&gt;"Продано"),ROUND(C96*J96,0),"")</f>
        <v/>
      </c>
      <c r="L96" s="100">
        <f>IF(AND(F96="Да",C96&gt;0,E96&lt;&gt;"Продано"),ROUND(C96*'Прайс'!$B$3,0),0)</f>
        <v/>
      </c>
      <c r="M96" s="100">
        <f t="array" ref="M96">IF(I96&lt;&gt;"",INDEX('Каталог'!$F:$F,MATCH(I96,'Каталог'!$A:$A,0)),"")</f>
        <v/>
      </c>
      <c r="N96" s="100">
        <f>IF(AND(E96&lt;&gt;"Продано",OR(K96&gt;0,M96&gt;0)),IFERROR(K96,0)+IFERROR(M96,0)+IFERROR(L96,0),"")</f>
        <v/>
      </c>
    </row>
    <row r="97" ht="15.75" customHeight="1" s="163">
      <c r="A97" s="99" t="n">
        <v>1643</v>
      </c>
      <c r="B97" s="99" t="inlineStr">
        <is>
          <t>Айвазовского</t>
        </is>
      </c>
      <c r="C97" s="99" t="n">
        <v>500</v>
      </c>
      <c r="D97" s="99" t="inlineStr">
        <is>
          <t>Виноградники / лиман / вулканы</t>
        </is>
      </c>
      <c r="E97" s="99" t="inlineStr">
        <is>
          <t>Свободно</t>
        </is>
      </c>
      <c r="F97" s="99" t="inlineStr">
        <is>
          <t>Нет</t>
        </is>
      </c>
      <c r="G97" s="99" t="inlineStr">
        <is>
          <t>1 ф ВЛВ / 2 ф ВЛВ</t>
        </is>
      </c>
      <c r="H97" s="104" t="inlineStr">
        <is>
          <t>1 эт.: Костеро, Линия 40, Линия 72, Логос, Логос мини, Арбор, Баня | 2 эт.: Палаццо, Эдем, Вилла Маре</t>
        </is>
      </c>
      <c r="I97" s="99" t="n"/>
      <c r="J97" s="100">
        <f t="array" ref="J97">IF(I97&lt;&gt;"",ROUND(INDEX('Каталог'!$F:$F,MATCH(I97,'Каталог'!$A:$A,0))/'Прайс'!$B$4,0),IFERROR(VLOOKUP(D97,'Прайс'!$A$7:$B$9,2,FALSE),'Прайс'!$B$2))</f>
        <v/>
      </c>
      <c r="K97" s="100">
        <f>IF(AND(C97&gt;0,J97&gt;0,E97&lt;&gt;"Продано"),ROUND(C97*J97,0),"")</f>
        <v/>
      </c>
      <c r="L97" s="100">
        <f>IF(AND(F97="Да",C97&gt;0,E97&lt;&gt;"Продано"),ROUND(C97*'Прайс'!$B$3,0),0)</f>
        <v/>
      </c>
      <c r="M97" s="100">
        <f t="array" ref="M97">IF(I97&lt;&gt;"",INDEX('Каталог'!$F:$F,MATCH(I97,'Каталог'!$A:$A,0)),"")</f>
        <v/>
      </c>
      <c r="N97" s="100">
        <f>IF(AND(E97&lt;&gt;"Продано",OR(K97&gt;0,M97&gt;0)),IFERROR(K97,0)+IFERROR(M97,0)+IFERROR(L97,0),"")</f>
        <v/>
      </c>
    </row>
    <row r="98" ht="15.75" customHeight="1" s="163">
      <c r="A98" s="99" t="n">
        <v>1644</v>
      </c>
      <c r="B98" s="99" t="inlineStr">
        <is>
          <t>Айвазовского</t>
        </is>
      </c>
      <c r="C98" s="99" t="n">
        <v>500</v>
      </c>
      <c r="D98" s="99" t="inlineStr">
        <is>
          <t>Виноградники / лиман / вулканы</t>
        </is>
      </c>
      <c r="E98" s="99" t="inlineStr">
        <is>
          <t>Свободно</t>
        </is>
      </c>
      <c r="F98" s="99" t="inlineStr">
        <is>
          <t>Нет</t>
        </is>
      </c>
      <c r="G98" s="99" t="inlineStr">
        <is>
          <t>1 ф ВЛВ / 2 ф ВЛВ</t>
        </is>
      </c>
      <c r="H98" s="104" t="inlineStr">
        <is>
          <t>1 эт.: Костеро, Линия 40, Линия 72, Логос, Логос мини, Арбор, Баня | 2 эт.: Палаццо, Эдем, Вилла Маре</t>
        </is>
      </c>
      <c r="I98" s="99" t="n"/>
      <c r="J98" s="100">
        <f t="array" ref="J98">IF(I98&lt;&gt;"",ROUND(INDEX('Каталог'!$F:$F,MATCH(I98,'Каталог'!$A:$A,0))/'Прайс'!$B$4,0),IFERROR(VLOOKUP(D98,'Прайс'!$A$7:$B$9,2,FALSE),'Прайс'!$B$2))</f>
        <v/>
      </c>
      <c r="K98" s="100">
        <f>IF(AND(C98&gt;0,J98&gt;0,E98&lt;&gt;"Продано"),ROUND(C98*J98,0),"")</f>
        <v/>
      </c>
      <c r="L98" s="100">
        <f>IF(AND(F98="Да",C98&gt;0,E98&lt;&gt;"Продано"),ROUND(C98*'Прайс'!$B$3,0),0)</f>
        <v/>
      </c>
      <c r="M98" s="100">
        <f t="array" ref="M98">IF(I98&lt;&gt;"",INDEX('Каталог'!$F:$F,MATCH(I98,'Каталог'!$A:$A,0)),"")</f>
        <v/>
      </c>
      <c r="N98" s="100">
        <f>IF(AND(E98&lt;&gt;"Продано",OR(K98&gt;0,M98&gt;0)),IFERROR(K98,0)+IFERROR(M98,0)+IFERROR(L98,0),"")</f>
        <v/>
      </c>
    </row>
    <row r="99" ht="15.75" customHeight="1" s="163">
      <c r="A99" s="99" t="n">
        <v>1645</v>
      </c>
      <c r="B99" s="99" t="inlineStr">
        <is>
          <t>Айвазовского</t>
        </is>
      </c>
      <c r="C99" s="99" t="n">
        <v>500</v>
      </c>
      <c r="D99" s="99" t="inlineStr">
        <is>
          <t>Виноградники / лиман / вулканы</t>
        </is>
      </c>
      <c r="E99" s="99" t="inlineStr">
        <is>
          <t>Свободно</t>
        </is>
      </c>
      <c r="F99" s="99" t="inlineStr">
        <is>
          <t>Нет</t>
        </is>
      </c>
      <c r="G99" s="99" t="inlineStr">
        <is>
          <t>1 ф ВЛВ / 2 ф ВЛВ</t>
        </is>
      </c>
      <c r="H99" s="104" t="inlineStr">
        <is>
          <t>1 эт.: Костеро, Линия 40, Линия 72, Логос, Логос мини, Арбор, Баня | 2 эт.: Палаццо, Эдем, Вилла Маре</t>
        </is>
      </c>
      <c r="I99" s="99" t="n"/>
      <c r="J99" s="100">
        <f t="array" ref="J99">IF(I99&lt;&gt;"",ROUND(INDEX('Каталог'!$F:$F,MATCH(I99,'Каталог'!$A:$A,0))/'Прайс'!$B$4,0),IFERROR(VLOOKUP(D99,'Прайс'!$A$7:$B$9,2,FALSE),'Прайс'!$B$2))</f>
        <v/>
      </c>
      <c r="K99" s="100">
        <f>IF(AND(C99&gt;0,J99&gt;0,E99&lt;&gt;"Продано"),ROUND(C99*J99,0),"")</f>
        <v/>
      </c>
      <c r="L99" s="100">
        <f>IF(AND(F99="Да",C99&gt;0,E99&lt;&gt;"Продано"),ROUND(C99*'Прайс'!$B$3,0),0)</f>
        <v/>
      </c>
      <c r="M99" s="100">
        <f t="array" ref="M99">IF(I99&lt;&gt;"",INDEX('Каталог'!$F:$F,MATCH(I99,'Каталог'!$A:$A,0)),"")</f>
        <v/>
      </c>
      <c r="N99" s="100">
        <f>IF(AND(E99&lt;&gt;"Продано",OR(K99&gt;0,M99&gt;0)),IFERROR(K99,0)+IFERROR(M99,0)+IFERROR(L99,0),"")</f>
        <v/>
      </c>
    </row>
    <row r="100" ht="15.75" customHeight="1" s="163">
      <c r="A100" s="99" t="n">
        <v>1646</v>
      </c>
      <c r="B100" s="99" t="inlineStr">
        <is>
          <t>Айвазовского</t>
        </is>
      </c>
      <c r="C100" s="99" t="n">
        <v>500</v>
      </c>
      <c r="D100" s="99" t="inlineStr">
        <is>
          <t>Виноградники / лиман / вулканы</t>
        </is>
      </c>
      <c r="E100" s="99" t="inlineStr">
        <is>
          <t>Свободно</t>
        </is>
      </c>
      <c r="F100" s="99" t="inlineStr">
        <is>
          <t>Нет</t>
        </is>
      </c>
      <c r="G100" s="99" t="inlineStr">
        <is>
          <t>1 ф ВЛВ / 2 ф ВЛВ</t>
        </is>
      </c>
      <c r="H100" s="104" t="inlineStr">
        <is>
          <t>1 эт.: Костеро, Линия 40, Линия 72, Логос, Логос мини, Арбор, Баня | 2 эт.: Палаццо, Эдем, Вилла Маре</t>
        </is>
      </c>
      <c r="I100" s="99" t="n"/>
      <c r="J100" s="100">
        <f t="array" ref="J100">IF(I100&lt;&gt;"",ROUND(INDEX('Каталог'!$F:$F,MATCH(I100,'Каталог'!$A:$A,0))/'Прайс'!$B$4,0),IFERROR(VLOOKUP(D100,'Прайс'!$A$7:$B$9,2,FALSE),'Прайс'!$B$2))</f>
        <v/>
      </c>
      <c r="K100" s="100">
        <f>IF(AND(C100&gt;0,J100&gt;0,E100&lt;&gt;"Продано"),ROUND(C100*J100,0),"")</f>
        <v/>
      </c>
      <c r="L100" s="100">
        <f>IF(AND(F100="Да",C100&gt;0,E100&lt;&gt;"Продано"),ROUND(C100*'Прайс'!$B$3,0),0)</f>
        <v/>
      </c>
      <c r="M100" s="100">
        <f t="array" ref="M100">IF(I100&lt;&gt;"",INDEX('Каталог'!$F:$F,MATCH(I100,'Каталог'!$A:$A,0)),"")</f>
        <v/>
      </c>
      <c r="N100" s="100">
        <f>IF(AND(E100&lt;&gt;"Продано",OR(K100&gt;0,M100&gt;0)),IFERROR(K100,0)+IFERROR(M100,0)+IFERROR(L100,0),"")</f>
        <v/>
      </c>
    </row>
    <row r="101" ht="15.75" customHeight="1" s="163">
      <c r="A101" s="99" t="n">
        <v>1647</v>
      </c>
      <c r="B101" s="99" t="inlineStr">
        <is>
          <t>Айвазовского</t>
        </is>
      </c>
      <c r="C101" s="99" t="n">
        <v>500</v>
      </c>
      <c r="D101" s="99" t="inlineStr">
        <is>
          <t>Виноградники / лиман / вулканы</t>
        </is>
      </c>
      <c r="E101" s="99" t="inlineStr">
        <is>
          <t>Свободно</t>
        </is>
      </c>
      <c r="F101" s="99" t="inlineStr">
        <is>
          <t>Нет</t>
        </is>
      </c>
      <c r="G101" s="99" t="inlineStr">
        <is>
          <t>1 ф ВЛВ / 2 ф ВЛВ</t>
        </is>
      </c>
      <c r="H101" s="104" t="inlineStr">
        <is>
          <t>1 эт.: Костеро, Линия 40, Линия 72, Логос, Логос мини, Арбор, Баня | 2 эт.: Палаццо, Эдем, Вилла Маре</t>
        </is>
      </c>
      <c r="I101" s="99" t="n"/>
      <c r="J101" s="100">
        <f t="array" ref="J101">IF(I101&lt;&gt;"",ROUND(INDEX('Каталог'!$F:$F,MATCH(I101,'Каталог'!$A:$A,0))/'Прайс'!$B$4,0),IFERROR(VLOOKUP(D101,'Прайс'!$A$7:$B$9,2,FALSE),'Прайс'!$B$2))</f>
        <v/>
      </c>
      <c r="K101" s="100">
        <f>IF(AND(C101&gt;0,J101&gt;0,E101&lt;&gt;"Продано"),ROUND(C101*J101,0),"")</f>
        <v/>
      </c>
      <c r="L101" s="100">
        <f>IF(AND(F101="Да",C101&gt;0,E101&lt;&gt;"Продано"),ROUND(C101*'Прайс'!$B$3,0),0)</f>
        <v/>
      </c>
      <c r="M101" s="100">
        <f t="array" ref="M101">IF(I101&lt;&gt;"",INDEX('Каталог'!$F:$F,MATCH(I101,'Каталог'!$A:$A,0)),"")</f>
        <v/>
      </c>
      <c r="N101" s="100">
        <f>IF(AND(E101&lt;&gt;"Продано",OR(K101&gt;0,M101&gt;0)),IFERROR(K101,0)+IFERROR(M101,0)+IFERROR(L101,0),"")</f>
        <v/>
      </c>
    </row>
    <row r="102" ht="15.75" customHeight="1" s="163">
      <c r="A102" s="99" t="n">
        <v>1648</v>
      </c>
      <c r="B102" s="99" t="inlineStr">
        <is>
          <t>Айвазовского</t>
        </is>
      </c>
      <c r="C102" s="99" t="n">
        <v>500</v>
      </c>
      <c r="D102" s="99" t="inlineStr">
        <is>
          <t>Виноградники / лиман / вулканы</t>
        </is>
      </c>
      <c r="E102" s="99" t="inlineStr">
        <is>
          <t>Свободно</t>
        </is>
      </c>
      <c r="F102" s="99" t="inlineStr">
        <is>
          <t>Нет</t>
        </is>
      </c>
      <c r="G102" s="99" t="inlineStr">
        <is>
          <t>1 ф ВЛВ / 2 ф ВЛВ</t>
        </is>
      </c>
      <c r="H102" s="104" t="inlineStr">
        <is>
          <t>1 эт.: Костеро, Линия 40, Линия 72, Логос, Логос мини, Арбор, Баня | 2 эт.: Палаццо, Эдем, Вилла Маре</t>
        </is>
      </c>
      <c r="I102" s="99" t="n"/>
      <c r="J102" s="100">
        <f t="array" ref="J102">IF(I102&lt;&gt;"",ROUND(INDEX('Каталог'!$F:$F,MATCH(I102,'Каталог'!$A:$A,0))/'Прайс'!$B$4,0),IFERROR(VLOOKUP(D102,'Прайс'!$A$7:$B$9,2,FALSE),'Прайс'!$B$2))</f>
        <v/>
      </c>
      <c r="K102" s="100">
        <f>IF(AND(C102&gt;0,J102&gt;0,E102&lt;&gt;"Продано"),ROUND(C102*J102,0),"")</f>
        <v/>
      </c>
      <c r="L102" s="100">
        <f>IF(AND(F102="Да",C102&gt;0,E102&lt;&gt;"Продано"),ROUND(C102*'Прайс'!$B$3,0),0)</f>
        <v/>
      </c>
      <c r="M102" s="100">
        <f t="array" ref="M102">IF(I102&lt;&gt;"",INDEX('Каталог'!$F:$F,MATCH(I102,'Каталог'!$A:$A,0)),"")</f>
        <v/>
      </c>
      <c r="N102" s="100">
        <f>IF(AND(E102&lt;&gt;"Продано",OR(K102&gt;0,M102&gt;0)),IFERROR(K102,0)+IFERROR(M102,0)+IFERROR(L102,0),"")</f>
        <v/>
      </c>
    </row>
    <row r="103" ht="15.75" customHeight="1" s="163">
      <c r="A103" s="99" t="n">
        <v>1649</v>
      </c>
      <c r="B103" s="99" t="inlineStr">
        <is>
          <t>Айвазовского</t>
        </is>
      </c>
      <c r="C103" s="99" t="n">
        <v>699</v>
      </c>
      <c r="D103" s="99" t="inlineStr">
        <is>
          <t>Виноградники / лиман / вулканы</t>
        </is>
      </c>
      <c r="E103" s="99" t="inlineStr">
        <is>
          <t>Свободно</t>
        </is>
      </c>
      <c r="F103" s="99" t="inlineStr">
        <is>
          <t>Да</t>
        </is>
      </c>
      <c r="G103" s="99" t="inlineStr">
        <is>
          <t>1 ф ВЛВ / 2 ф ВЛВ</t>
        </is>
      </c>
      <c r="H103" s="104" t="inlineStr">
        <is>
          <t>1 эт.: Костеро, Линия 40, Линия 72, Логос, Логос мини, Арбор, Баня | 2 эт.: Палаццо, Эдем, Вилла Маре</t>
        </is>
      </c>
      <c r="I103" s="99" t="n"/>
      <c r="J103" s="100">
        <f t="array" ref="J103">IF(I103&lt;&gt;"",ROUND(INDEX('Каталог'!$F:$F,MATCH(I103,'Каталог'!$A:$A,0))/'Прайс'!$B$4,0),IFERROR(VLOOKUP(D103,'Прайс'!$A$7:$B$9,2,FALSE),'Прайс'!$B$2))</f>
        <v/>
      </c>
      <c r="K103" s="100">
        <f>IF(AND(C103&gt;0,J103&gt;0,E103&lt;&gt;"Продано"),ROUND(C103*J103,0),"")</f>
        <v/>
      </c>
      <c r="L103" s="100">
        <f>IF(AND(F103="Да",C103&gt;0,E103&lt;&gt;"Продано"),ROUND(C103*'Прайс'!$B$3,0),0)</f>
        <v/>
      </c>
      <c r="M103" s="100">
        <f t="array" ref="M103">IF(I103&lt;&gt;"",INDEX('Каталог'!$F:$F,MATCH(I103,'Каталог'!$A:$A,0)),"")</f>
        <v/>
      </c>
      <c r="N103" s="100">
        <f>IF(AND(E103&lt;&gt;"Продано",OR(K103&gt;0,M103&gt;0)),IFERROR(K103,0)+IFERROR(M103,0)+IFERROR(L103,0),"")</f>
        <v/>
      </c>
    </row>
    <row r="104" ht="15.75" customHeight="1" s="163">
      <c r="A104" s="99" t="n">
        <v>1650</v>
      </c>
      <c r="B104" s="99" t="inlineStr">
        <is>
          <t>Айвазовского</t>
        </is>
      </c>
      <c r="C104" s="99" t="n">
        <v>500</v>
      </c>
      <c r="D104" s="99" t="inlineStr">
        <is>
          <t>Виноградники / лиман / вулканы</t>
        </is>
      </c>
      <c r="E104" s="99" t="inlineStr">
        <is>
          <t>Свободно</t>
        </is>
      </c>
      <c r="F104" s="99" t="inlineStr">
        <is>
          <t>Нет</t>
        </is>
      </c>
      <c r="G104" s="99" t="inlineStr">
        <is>
          <t>1 ф ВЛВ / 2 ф ВЛВ</t>
        </is>
      </c>
      <c r="H104" s="104" t="inlineStr">
        <is>
          <t>1 эт.: Костеро, Линия 40, Линия 72, Логос, Логос мини, Арбор, Баня | 2 эт.: Палаццо, Эдем, Вилла Маре</t>
        </is>
      </c>
      <c r="I104" s="99" t="n"/>
      <c r="J104" s="100">
        <f t="array" ref="J104">IF(I104&lt;&gt;"",ROUND(INDEX('Каталог'!$F:$F,MATCH(I104,'Каталог'!$A:$A,0))/'Прайс'!$B$4,0),IFERROR(VLOOKUP(D104,'Прайс'!$A$7:$B$9,2,FALSE),'Прайс'!$B$2))</f>
        <v/>
      </c>
      <c r="K104" s="100">
        <f>IF(AND(C104&gt;0,J104&gt;0,E104&lt;&gt;"Продано"),ROUND(C104*J104,0),"")</f>
        <v/>
      </c>
      <c r="L104" s="100">
        <f>IF(AND(F104="Да",C104&gt;0,E104&lt;&gt;"Продано"),ROUND(C104*'Прайс'!$B$3,0),0)</f>
        <v/>
      </c>
      <c r="M104" s="100">
        <f t="array" ref="M104">IF(I104&lt;&gt;"",INDEX('Каталог'!$F:$F,MATCH(I104,'Каталог'!$A:$A,0)),"")</f>
        <v/>
      </c>
      <c r="N104" s="100">
        <f>IF(AND(E104&lt;&gt;"Продано",OR(K104&gt;0,M104&gt;0)),IFERROR(K104,0)+IFERROR(M104,0)+IFERROR(L104,0),"")</f>
        <v/>
      </c>
    </row>
    <row r="105" ht="15.75" customHeight="1" s="163">
      <c r="A105" s="99" t="n">
        <v>1651</v>
      </c>
      <c r="B105" s="99" t="inlineStr">
        <is>
          <t>Айвазовского</t>
        </is>
      </c>
      <c r="C105" s="99" t="n">
        <v>500</v>
      </c>
      <c r="D105" s="99" t="inlineStr">
        <is>
          <t>Виноградники / лиман / вулканы</t>
        </is>
      </c>
      <c r="E105" s="99" t="inlineStr">
        <is>
          <t>Свободно</t>
        </is>
      </c>
      <c r="F105" s="99" t="inlineStr">
        <is>
          <t>Нет</t>
        </is>
      </c>
      <c r="G105" s="99" t="inlineStr">
        <is>
          <t>1 ф ВЛВ / 2 ф ВЛВ</t>
        </is>
      </c>
      <c r="H105" s="104" t="inlineStr">
        <is>
          <t>1 эт.: Костеро, Линия 40, Линия 72, Логос, Логос мини, Арбор, Баня | 2 эт.: Палаццо, Эдем, Вилла Маре</t>
        </is>
      </c>
      <c r="I105" s="99" t="n"/>
      <c r="J105" s="100">
        <f t="array" ref="J105">IF(I105&lt;&gt;"",ROUND(INDEX('Каталог'!$F:$F,MATCH(I105,'Каталог'!$A:$A,0))/'Прайс'!$B$4,0),IFERROR(VLOOKUP(D105,'Прайс'!$A$7:$B$9,2,FALSE),'Прайс'!$B$2))</f>
        <v/>
      </c>
      <c r="K105" s="100">
        <f>IF(AND(C105&gt;0,J105&gt;0,E105&lt;&gt;"Продано"),ROUND(C105*J105,0),"")</f>
        <v/>
      </c>
      <c r="L105" s="100">
        <f>IF(AND(F105="Да",C105&gt;0,E105&lt;&gt;"Продано"),ROUND(C105*'Прайс'!$B$3,0),0)</f>
        <v/>
      </c>
      <c r="M105" s="100">
        <f t="array" ref="M105">IF(I105&lt;&gt;"",INDEX('Каталог'!$F:$F,MATCH(I105,'Каталог'!$A:$A,0)),"")</f>
        <v/>
      </c>
      <c r="N105" s="100">
        <f>IF(AND(E105&lt;&gt;"Продано",OR(K105&gt;0,M105&gt;0)),IFERROR(K105,0)+IFERROR(M105,0)+IFERROR(L105,0),"")</f>
        <v/>
      </c>
    </row>
    <row r="106" ht="15.75" customHeight="1" s="163">
      <c r="A106" s="99" t="n">
        <v>1652</v>
      </c>
      <c r="B106" s="99" t="inlineStr">
        <is>
          <t>Айвазовского</t>
        </is>
      </c>
      <c r="C106" s="99" t="n">
        <v>500</v>
      </c>
      <c r="D106" s="99" t="inlineStr">
        <is>
          <t>Виноградники / лиман / вулканы</t>
        </is>
      </c>
      <c r="E106" s="99" t="inlineStr">
        <is>
          <t>Свободно</t>
        </is>
      </c>
      <c r="F106" s="99" t="inlineStr">
        <is>
          <t>Нет</t>
        </is>
      </c>
      <c r="G106" s="99" t="inlineStr">
        <is>
          <t>1 ф ВЛВ / 2 ф ВЛВ</t>
        </is>
      </c>
      <c r="H106" s="104" t="inlineStr">
        <is>
          <t>1 эт.: Костеро, Линия 40, Линия 72, Логос, Логос мини, Арбор, Баня | 2 эт.: Палаццо, Эдем, Вилла Маре</t>
        </is>
      </c>
      <c r="I106" s="99" t="n"/>
      <c r="J106" s="100">
        <f t="array" ref="J106">IF(I106&lt;&gt;"",ROUND(INDEX('Каталог'!$F:$F,MATCH(I106,'Каталог'!$A:$A,0))/'Прайс'!$B$4,0),IFERROR(VLOOKUP(D106,'Прайс'!$A$7:$B$9,2,FALSE),'Прайс'!$B$2))</f>
        <v/>
      </c>
      <c r="K106" s="100">
        <f>IF(AND(C106&gt;0,J106&gt;0,E106&lt;&gt;"Продано"),ROUND(C106*J106,0),"")</f>
        <v/>
      </c>
      <c r="L106" s="100">
        <f>IF(AND(F106="Да",C106&gt;0,E106&lt;&gt;"Продано"),ROUND(C106*'Прайс'!$B$3,0),0)</f>
        <v/>
      </c>
      <c r="M106" s="100">
        <f t="array" ref="M106">IF(I106&lt;&gt;"",INDEX('Каталог'!$F:$F,MATCH(I106,'Каталог'!$A:$A,0)),"")</f>
        <v/>
      </c>
      <c r="N106" s="100">
        <f>IF(AND(E106&lt;&gt;"Продано",OR(K106&gt;0,M106&gt;0)),IFERROR(K106,0)+IFERROR(M106,0)+IFERROR(L106,0),"")</f>
        <v/>
      </c>
    </row>
    <row r="107" ht="15.75" customHeight="1" s="163">
      <c r="A107" s="99" t="n">
        <v>1653</v>
      </c>
      <c r="B107" s="99" t="inlineStr">
        <is>
          <t>Айвазовского</t>
        </is>
      </c>
      <c r="C107" s="99" t="n">
        <v>500</v>
      </c>
      <c r="D107" s="99" t="inlineStr">
        <is>
          <t>Виноградники / лиман / вулканы</t>
        </is>
      </c>
      <c r="E107" s="99" t="inlineStr">
        <is>
          <t>Свободно</t>
        </is>
      </c>
      <c r="F107" s="99" t="inlineStr">
        <is>
          <t>Нет</t>
        </is>
      </c>
      <c r="G107" s="99" t="inlineStr">
        <is>
          <t>1 ф ВЛВ / 2 ф ВЛВ</t>
        </is>
      </c>
      <c r="H107" s="104" t="inlineStr">
        <is>
          <t>1 эт.: Костеро, Линия 40, Линия 72, Логос, Логос мини, Арбор, Баня | 2 эт.: Палаццо, Эдем, Вилла Маре</t>
        </is>
      </c>
      <c r="I107" s="99" t="n"/>
      <c r="J107" s="100">
        <f t="array" ref="J107">IF(I107&lt;&gt;"",ROUND(INDEX('Каталог'!$F:$F,MATCH(I107,'Каталог'!$A:$A,0))/'Прайс'!$B$4,0),IFERROR(VLOOKUP(D107,'Прайс'!$A$7:$B$9,2,FALSE),'Прайс'!$B$2))</f>
        <v/>
      </c>
      <c r="K107" s="100">
        <f>IF(AND(C107&gt;0,J107&gt;0,E107&lt;&gt;"Продано"),ROUND(C107*J107,0),"")</f>
        <v/>
      </c>
      <c r="L107" s="100">
        <f>IF(AND(F107="Да",C107&gt;0,E107&lt;&gt;"Продано"),ROUND(C107*'Прайс'!$B$3,0),0)</f>
        <v/>
      </c>
      <c r="M107" s="100">
        <f t="array" ref="M107">IF(I107&lt;&gt;"",INDEX('Каталог'!$F:$F,MATCH(I107,'Каталог'!$A:$A,0)),"")</f>
        <v/>
      </c>
      <c r="N107" s="100">
        <f>IF(AND(E107&lt;&gt;"Продано",OR(K107&gt;0,M107&gt;0)),IFERROR(K107,0)+IFERROR(M107,0)+IFERROR(L107,0),"")</f>
        <v/>
      </c>
    </row>
    <row r="108" ht="15.75" customHeight="1" s="163">
      <c r="A108" s="99" t="n">
        <v>1654</v>
      </c>
      <c r="B108" s="99" t="inlineStr">
        <is>
          <t>Айвазовского</t>
        </is>
      </c>
      <c r="C108" s="99" t="n"/>
      <c r="D108" s="99" t="inlineStr">
        <is>
          <t>Виноградники / лиман / вулканы</t>
        </is>
      </c>
      <c r="E108" s="99" t="inlineStr">
        <is>
          <t>Свободно</t>
        </is>
      </c>
      <c r="F108" s="99" t="inlineStr">
        <is>
          <t>Нет</t>
        </is>
      </c>
      <c r="G108" s="99" t="inlineStr">
        <is>
          <t>1 ф ВЛВ / 2 ф ВЛВ</t>
        </is>
      </c>
      <c r="H108" s="104" t="inlineStr">
        <is>
          <t>1 эт.: Костеро, Линия 40, Линия 72, Логос, Логос мини, Арбор, Баня | 2 эт.: Палаццо, Эдем, Вилла Маре</t>
        </is>
      </c>
      <c r="I108" s="99" t="n"/>
      <c r="J108" s="100">
        <f t="array" ref="J108">IF(I108&lt;&gt;"",ROUND(INDEX('Каталог'!$F:$F,MATCH(I108,'Каталог'!$A:$A,0))/'Прайс'!$B$4,0),IFERROR(VLOOKUP(D108,'Прайс'!$A$7:$B$9,2,FALSE),'Прайс'!$B$2))</f>
        <v/>
      </c>
      <c r="K108" s="100">
        <f>IF(AND(C108&gt;0,J108&gt;0,E108&lt;&gt;"Продано"),ROUND(C108*J108,0),"")</f>
        <v/>
      </c>
      <c r="L108" s="100">
        <f>IF(AND(F108="Да",C108&gt;0,E108&lt;&gt;"Продано"),ROUND(C108*'Прайс'!$B$3,0),0)</f>
        <v/>
      </c>
      <c r="M108" s="100">
        <f t="array" ref="M108">IF(I108&lt;&gt;"",INDEX('Каталог'!$F:$F,MATCH(I108,'Каталог'!$A:$A,0)),"")</f>
        <v/>
      </c>
      <c r="N108" s="100">
        <f>IF(AND(E108&lt;&gt;"Продано",OR(K108&gt;0,M108&gt;0)),IFERROR(K108,0)+IFERROR(M108,0)+IFERROR(L108,0),"")</f>
        <v/>
      </c>
    </row>
    <row r="109" ht="15.75" customHeight="1" s="163">
      <c r="A109" s="99" t="n">
        <v>1655</v>
      </c>
      <c r="B109" s="99" t="inlineStr">
        <is>
          <t>Айвазовского</t>
        </is>
      </c>
      <c r="C109" s="99" t="n"/>
      <c r="D109" s="99" t="inlineStr">
        <is>
          <t>Виноградники / лиман / вулканы</t>
        </is>
      </c>
      <c r="E109" s="99" t="inlineStr">
        <is>
          <t>Свободно</t>
        </is>
      </c>
      <c r="F109" s="99" t="inlineStr">
        <is>
          <t>Нет</t>
        </is>
      </c>
      <c r="G109" s="99" t="inlineStr">
        <is>
          <t>1 ф ВЛВ / 2 ф ВЛВ</t>
        </is>
      </c>
      <c r="H109" s="104" t="inlineStr">
        <is>
          <t>1 эт.: Костеро, Линия 40, Линия 72, Логос, Логос мини, Арбор, Баня | 2 эт.: Палаццо, Эдем, Вилла Маре</t>
        </is>
      </c>
      <c r="I109" s="99" t="n"/>
      <c r="J109" s="100">
        <f t="array" ref="J109">IF(I109&lt;&gt;"",ROUND(INDEX('Каталог'!$F:$F,MATCH(I109,'Каталог'!$A:$A,0))/'Прайс'!$B$4,0),IFERROR(VLOOKUP(D109,'Прайс'!$A$7:$B$9,2,FALSE),'Прайс'!$B$2))</f>
        <v/>
      </c>
      <c r="K109" s="100">
        <f>IF(AND(C109&gt;0,J109&gt;0,E109&lt;&gt;"Продано"),ROUND(C109*J109,0),"")</f>
        <v/>
      </c>
      <c r="L109" s="100">
        <f>IF(AND(F109="Да",C109&gt;0,E109&lt;&gt;"Продано"),ROUND(C109*'Прайс'!$B$3,0),0)</f>
        <v/>
      </c>
      <c r="M109" s="100">
        <f t="array" ref="M109">IF(I109&lt;&gt;"",INDEX('Каталог'!$F:$F,MATCH(I109,'Каталог'!$A:$A,0)),"")</f>
        <v/>
      </c>
      <c r="N109" s="100">
        <f>IF(AND(E109&lt;&gt;"Продано",OR(K109&gt;0,M109&gt;0)),IFERROR(K109,0)+IFERROR(M109,0)+IFERROR(L109,0),"")</f>
        <v/>
      </c>
    </row>
    <row r="110" ht="15.75" customHeight="1" s="163">
      <c r="A110" s="99" t="n">
        <v>1656</v>
      </c>
      <c r="B110" s="99" t="inlineStr">
        <is>
          <t>Айвазовского</t>
        </is>
      </c>
      <c r="C110" s="99" t="n">
        <v>781</v>
      </c>
      <c r="D110" s="99" t="inlineStr">
        <is>
          <t>Виноградники / лиман / вулканы</t>
        </is>
      </c>
      <c r="E110" s="99" t="inlineStr">
        <is>
          <t>Свободно</t>
        </is>
      </c>
      <c r="F110" s="99" t="inlineStr">
        <is>
          <t>Да</t>
        </is>
      </c>
      <c r="G110" s="99" t="inlineStr">
        <is>
          <t>1 ф ВЛВ / 2 ф ВЛВ</t>
        </is>
      </c>
      <c r="H110" s="104" t="inlineStr">
        <is>
          <t>1 эт.: Костеро, Линия 40, Линия 72, Логос, Логос мини, Арбор, Баня | 2 эт.: Палаццо, Эдем, Вилла Маре</t>
        </is>
      </c>
      <c r="I110" s="99" t="n"/>
      <c r="J110" s="100">
        <f t="array" ref="J110">IF(I110&lt;&gt;"",ROUND(INDEX('Каталог'!$F:$F,MATCH(I110,'Каталог'!$A:$A,0))/'Прайс'!$B$4,0),IFERROR(VLOOKUP(D110,'Прайс'!$A$7:$B$9,2,FALSE),'Прайс'!$B$2))</f>
        <v/>
      </c>
      <c r="K110" s="100">
        <f>IF(AND(C110&gt;0,J110&gt;0,E110&lt;&gt;"Продано"),ROUND(C110*J110,0),"")</f>
        <v/>
      </c>
      <c r="L110" s="100">
        <f>IF(AND(F110="Да",C110&gt;0,E110&lt;&gt;"Продано"),ROUND(C110*'Прайс'!$B$3,0),0)</f>
        <v/>
      </c>
      <c r="M110" s="100">
        <f t="array" ref="M110">IF(I110&lt;&gt;"",INDEX('Каталог'!$F:$F,MATCH(I110,'Каталог'!$A:$A,0)),"")</f>
        <v/>
      </c>
      <c r="N110" s="100">
        <f>IF(AND(E110&lt;&gt;"Продано",OR(K110&gt;0,M110&gt;0)),IFERROR(K110,0)+IFERROR(M110,0)+IFERROR(L110,0),"")</f>
        <v/>
      </c>
    </row>
    <row r="111" ht="15.75" customHeight="1" s="163">
      <c r="A111" s="99" t="n">
        <v>1657</v>
      </c>
      <c r="B111" s="99" t="inlineStr">
        <is>
          <t>Айвазовского</t>
        </is>
      </c>
      <c r="C111" s="99" t="n">
        <v>773</v>
      </c>
      <c r="D111" s="99" t="inlineStr">
        <is>
          <t>Виноградники / лиман / вулканы</t>
        </is>
      </c>
      <c r="E111" s="99" t="inlineStr">
        <is>
          <t>Свободно</t>
        </is>
      </c>
      <c r="F111" s="99" t="inlineStr">
        <is>
          <t>Да</t>
        </is>
      </c>
      <c r="G111" s="99" t="inlineStr">
        <is>
          <t>1 ф ВЛВ / 2 ф ВЛВ</t>
        </is>
      </c>
      <c r="H111" s="104" t="inlineStr">
        <is>
          <t>1 эт.: Костеро, Линия 40, Линия 72, Логос, Логос мини, Арбор, Баня | 2 эт.: Палаццо, Эдем, Вилла Маре</t>
        </is>
      </c>
      <c r="I111" s="99" t="n"/>
      <c r="J111" s="100">
        <f t="array" ref="J111">IF(I111&lt;&gt;"",ROUND(INDEX('Каталог'!$F:$F,MATCH(I111,'Каталог'!$A:$A,0))/'Прайс'!$B$4,0),IFERROR(VLOOKUP(D111,'Прайс'!$A$7:$B$9,2,FALSE),'Прайс'!$B$2))</f>
        <v/>
      </c>
      <c r="K111" s="100">
        <f>IF(AND(C111&gt;0,J111&gt;0,E111&lt;&gt;"Продано"),ROUND(C111*J111,0),"")</f>
        <v/>
      </c>
      <c r="L111" s="100">
        <f>IF(AND(F111="Да",C111&gt;0,E111&lt;&gt;"Продано"),ROUND(C111*'Прайс'!$B$3,0),0)</f>
        <v/>
      </c>
      <c r="M111" s="100">
        <f t="array" ref="M111">IF(I111&lt;&gt;"",INDEX('Каталог'!$F:$F,MATCH(I111,'Каталог'!$A:$A,0)),"")</f>
        <v/>
      </c>
      <c r="N111" s="100">
        <f>IF(AND(E111&lt;&gt;"Продано",OR(K111&gt;0,M111&gt;0)),IFERROR(K111,0)+IFERROR(M111,0)+IFERROR(L111,0),"")</f>
        <v/>
      </c>
    </row>
    <row r="112" ht="15.75" customHeight="1" s="163">
      <c r="A112" s="99" t="n">
        <v>1658</v>
      </c>
      <c r="B112" s="99" t="inlineStr">
        <is>
          <t>Луначарского</t>
        </is>
      </c>
      <c r="C112" s="99" t="n">
        <v>662</v>
      </c>
      <c r="D112" s="99" t="inlineStr">
        <is>
          <t>Вид на море</t>
        </is>
      </c>
      <c r="E112" s="99" t="inlineStr">
        <is>
          <t>Свободно</t>
        </is>
      </c>
      <c r="F112" s="99" t="inlineStr">
        <is>
          <t>Да</t>
        </is>
      </c>
      <c r="G112" s="99" t="inlineStr">
        <is>
          <t>1 ф М / 2 ф М</t>
        </is>
      </c>
      <c r="H112" s="104" t="inlineStr">
        <is>
          <t>1 эт.: Костеро, Линия 40, Линия 72, Логос, Логос мини, Арбор, Баня | 2 эт.: Палаццо, Эдем, Вилла Маре</t>
        </is>
      </c>
      <c r="I112" s="99" t="n"/>
      <c r="J112" s="100">
        <f t="array" ref="J112">IF(I112&lt;&gt;"",ROUND(INDEX('Каталог'!$F:$F,MATCH(I112,'Каталог'!$A:$A,0))/'Прайс'!$B$4,0),IFERROR(VLOOKUP(D112,'Прайс'!$A$7:$B$9,2,FALSE),'Прайс'!$B$2))</f>
        <v/>
      </c>
      <c r="K112" s="100">
        <f>IF(AND(C112&gt;0,J112&gt;0,E112&lt;&gt;"Продано"),ROUND(C112*J112,0),"")</f>
        <v/>
      </c>
      <c r="L112" s="100">
        <f>IF(AND(F112="Да",C112&gt;0,E112&lt;&gt;"Продано"),ROUND(C112*'Прайс'!$B$3,0),0)</f>
        <v/>
      </c>
      <c r="M112" s="100">
        <f t="array" ref="M112">IF(I112&lt;&gt;"",INDEX('Каталог'!$F:$F,MATCH(I112,'Каталог'!$A:$A,0)),"")</f>
        <v/>
      </c>
      <c r="N112" s="100">
        <f>IF(AND(E112&lt;&gt;"Продано",OR(K112&gt;0,M112&gt;0)),IFERROR(K112,0)+IFERROR(M112,0)+IFERROR(L112,0),"")</f>
        <v/>
      </c>
    </row>
    <row r="113" ht="15.75" customHeight="1" s="163">
      <c r="A113" s="99" t="n">
        <v>1659</v>
      </c>
      <c r="B113" s="99" t="inlineStr">
        <is>
          <t>Луначарского</t>
        </is>
      </c>
      <c r="C113" s="99" t="n">
        <v>500</v>
      </c>
      <c r="D113" s="99" t="inlineStr">
        <is>
          <t>Вид на море</t>
        </is>
      </c>
      <c r="E113" s="99" t="inlineStr">
        <is>
          <t>Свободно</t>
        </is>
      </c>
      <c r="F113" s="99" t="inlineStr">
        <is>
          <t>Нет</t>
        </is>
      </c>
      <c r="G113" s="99" t="inlineStr">
        <is>
          <t>1 ф М / 2 ф М</t>
        </is>
      </c>
      <c r="H113" s="104" t="inlineStr">
        <is>
          <t>1 эт.: Костеро, Линия 40, Линия 72, Логос, Логос мини, Арбор, Баня | 2 эт.: Палаццо, Эдем, Вилла Маре</t>
        </is>
      </c>
      <c r="I113" s="99" t="n"/>
      <c r="J113" s="100">
        <f t="array" ref="J113">IF(I113&lt;&gt;"",ROUND(INDEX('Каталог'!$F:$F,MATCH(I113,'Каталог'!$A:$A,0))/'Прайс'!$B$4,0),IFERROR(VLOOKUP(D113,'Прайс'!$A$7:$B$9,2,FALSE),'Прайс'!$B$2))</f>
        <v/>
      </c>
      <c r="K113" s="100">
        <f>IF(AND(C113&gt;0,J113&gt;0,E113&lt;&gt;"Продано"),ROUND(C113*J113,0),"")</f>
        <v/>
      </c>
      <c r="L113" s="100">
        <f>IF(AND(F113="Да",C113&gt;0,E113&lt;&gt;"Продано"),ROUND(C113*'Прайс'!$B$3,0),0)</f>
        <v/>
      </c>
      <c r="M113" s="100">
        <f t="array" ref="M113">IF(I113&lt;&gt;"",INDEX('Каталог'!$F:$F,MATCH(I113,'Каталог'!$A:$A,0)),"")</f>
        <v/>
      </c>
      <c r="N113" s="100">
        <f>IF(AND(E113&lt;&gt;"Продано",OR(K113&gt;0,M113&gt;0)),IFERROR(K113,0)+IFERROR(M113,0)+IFERROR(L113,0),"")</f>
        <v/>
      </c>
    </row>
    <row r="114" ht="15.75" customHeight="1" s="163">
      <c r="A114" s="99" t="n">
        <v>1660</v>
      </c>
      <c r="B114" s="99" t="inlineStr">
        <is>
          <t>Луначарского</t>
        </is>
      </c>
      <c r="C114" s="99" t="n">
        <v>500</v>
      </c>
      <c r="D114" s="99" t="inlineStr">
        <is>
          <t>Вид на море</t>
        </is>
      </c>
      <c r="E114" s="99" t="inlineStr">
        <is>
          <t>Свободно</t>
        </is>
      </c>
      <c r="F114" s="99" t="inlineStr">
        <is>
          <t>Нет</t>
        </is>
      </c>
      <c r="G114" s="99" t="inlineStr">
        <is>
          <t>1 ф М / 2 ф М</t>
        </is>
      </c>
      <c r="H114" s="104" t="inlineStr">
        <is>
          <t>1 эт.: Костеро, Линия 40, Линия 72, Логос, Логос мини, Арбор, Баня | 2 эт.: Палаццо, Эдем, Вилла Маре</t>
        </is>
      </c>
      <c r="I114" s="99" t="n"/>
      <c r="J114" s="100">
        <f t="array" ref="J114">IF(I114&lt;&gt;"",ROUND(INDEX('Каталог'!$F:$F,MATCH(I114,'Каталог'!$A:$A,0))/'Прайс'!$B$4,0),IFERROR(VLOOKUP(D114,'Прайс'!$A$7:$B$9,2,FALSE),'Прайс'!$B$2))</f>
        <v/>
      </c>
      <c r="K114" s="100">
        <f>IF(AND(C114&gt;0,J114&gt;0,E114&lt;&gt;"Продано"),ROUND(C114*J114,0),"")</f>
        <v/>
      </c>
      <c r="L114" s="100">
        <f>IF(AND(F114="Да",C114&gt;0,E114&lt;&gt;"Продано"),ROUND(C114*'Прайс'!$B$3,0),0)</f>
        <v/>
      </c>
      <c r="M114" s="100">
        <f t="array" ref="M114">IF(I114&lt;&gt;"",INDEX('Каталог'!$F:$F,MATCH(I114,'Каталог'!$A:$A,0)),"")</f>
        <v/>
      </c>
      <c r="N114" s="100">
        <f>IF(AND(E114&lt;&gt;"Продано",OR(K114&gt;0,M114&gt;0)),IFERROR(K114,0)+IFERROR(M114,0)+IFERROR(L114,0),"")</f>
        <v/>
      </c>
    </row>
    <row r="115" ht="15.75" customHeight="1" s="163">
      <c r="A115" s="99" t="n">
        <v>1661</v>
      </c>
      <c r="B115" s="99" t="inlineStr">
        <is>
          <t>Луначарского</t>
        </is>
      </c>
      <c r="C115" s="99" t="n">
        <v>500</v>
      </c>
      <c r="D115" s="99" t="inlineStr">
        <is>
          <t>Вид на море</t>
        </is>
      </c>
      <c r="E115" s="99" t="inlineStr">
        <is>
          <t>Свободно</t>
        </is>
      </c>
      <c r="F115" s="99" t="inlineStr">
        <is>
          <t>Нет</t>
        </is>
      </c>
      <c r="G115" s="99" t="inlineStr">
        <is>
          <t>1 ф М / 2 ф М</t>
        </is>
      </c>
      <c r="H115" s="104" t="inlineStr">
        <is>
          <t>1 эт.: Костеро, Линия 40, Линия 72, Логос, Логос мини, Арбор, Баня | 2 эт.: Палаццо, Эдем, Вилла Маре</t>
        </is>
      </c>
      <c r="I115" s="99" t="n"/>
      <c r="J115" s="100">
        <f t="array" ref="J115">IF(I115&lt;&gt;"",ROUND(INDEX('Каталог'!$F:$F,MATCH(I115,'Каталог'!$A:$A,0))/'Прайс'!$B$4,0),IFERROR(VLOOKUP(D115,'Прайс'!$A$7:$B$9,2,FALSE),'Прайс'!$B$2))</f>
        <v/>
      </c>
      <c r="K115" s="100">
        <f>IF(AND(C115&gt;0,J115&gt;0,E115&lt;&gt;"Продано"),ROUND(C115*J115,0),"")</f>
        <v/>
      </c>
      <c r="L115" s="100">
        <f>IF(AND(F115="Да",C115&gt;0,E115&lt;&gt;"Продано"),ROUND(C115*'Прайс'!$B$3,0),0)</f>
        <v/>
      </c>
      <c r="M115" s="100">
        <f t="array" ref="M115">IF(I115&lt;&gt;"",INDEX('Каталог'!$F:$F,MATCH(I115,'Каталог'!$A:$A,0)),"")</f>
        <v/>
      </c>
      <c r="N115" s="100">
        <f>IF(AND(E115&lt;&gt;"Продано",OR(K115&gt;0,M115&gt;0)),IFERROR(K115,0)+IFERROR(M115,0)+IFERROR(L115,0),"")</f>
        <v/>
      </c>
    </row>
    <row r="116" ht="15.75" customHeight="1" s="163">
      <c r="A116" s="99" t="n">
        <v>1662</v>
      </c>
      <c r="B116" s="99" t="inlineStr">
        <is>
          <t>Луначарского</t>
        </is>
      </c>
      <c r="C116" s="99" t="n">
        <v>500</v>
      </c>
      <c r="D116" s="99" t="inlineStr">
        <is>
          <t>Вид на море</t>
        </is>
      </c>
      <c r="E116" s="99" t="inlineStr">
        <is>
          <t>Свободно</t>
        </is>
      </c>
      <c r="F116" s="99" t="inlineStr">
        <is>
          <t>Нет</t>
        </is>
      </c>
      <c r="G116" s="99" t="inlineStr">
        <is>
          <t>1 ф М / 2 ф М</t>
        </is>
      </c>
      <c r="H116" s="104" t="inlineStr">
        <is>
          <t>1 эт.: Костеро, Линия 40, Линия 72, Логос, Логос мини, Арбор, Баня | 2 эт.: Палаццо, Эдем, Вилла Маре</t>
        </is>
      </c>
      <c r="I116" s="99" t="n"/>
      <c r="J116" s="100">
        <f t="array" ref="J116">IF(I116&lt;&gt;"",ROUND(INDEX('Каталог'!$F:$F,MATCH(I116,'Каталог'!$A:$A,0))/'Прайс'!$B$4,0),IFERROR(VLOOKUP(D116,'Прайс'!$A$7:$B$9,2,FALSE),'Прайс'!$B$2))</f>
        <v/>
      </c>
      <c r="K116" s="100">
        <f>IF(AND(C116&gt;0,J116&gt;0,E116&lt;&gt;"Продано"),ROUND(C116*J116,0),"")</f>
        <v/>
      </c>
      <c r="L116" s="100">
        <f>IF(AND(F116="Да",C116&gt;0,E116&lt;&gt;"Продано"),ROUND(C116*'Прайс'!$B$3,0),0)</f>
        <v/>
      </c>
      <c r="M116" s="100">
        <f t="array" ref="M116">IF(I116&lt;&gt;"",INDEX('Каталог'!$F:$F,MATCH(I116,'Каталог'!$A:$A,0)),"")</f>
        <v/>
      </c>
      <c r="N116" s="100">
        <f>IF(AND(E116&lt;&gt;"Продано",OR(K116&gt;0,M116&gt;0)),IFERROR(K116,0)+IFERROR(M116,0)+IFERROR(L116,0),"")</f>
        <v/>
      </c>
    </row>
    <row r="117" ht="15.75" customHeight="1" s="163">
      <c r="A117" s="99" t="n">
        <v>1663</v>
      </c>
      <c r="B117" s="99" t="inlineStr">
        <is>
          <t>Луначарского</t>
        </is>
      </c>
      <c r="C117" s="99" t="n">
        <v>662</v>
      </c>
      <c r="D117" s="99" t="inlineStr">
        <is>
          <t>Вид на море</t>
        </is>
      </c>
      <c r="E117" s="99" t="inlineStr">
        <is>
          <t>Свободно</t>
        </is>
      </c>
      <c r="F117" s="99" t="inlineStr">
        <is>
          <t>Да</t>
        </is>
      </c>
      <c r="G117" s="99" t="inlineStr">
        <is>
          <t>1 ф М / 2 ф М</t>
        </is>
      </c>
      <c r="H117" s="104" t="inlineStr">
        <is>
          <t>1 эт.: Костеро, Линия 40, Линия 72, Логос, Логос мини, Арбор, Баня | 2 эт.: Палаццо, Эдем, Вилла Маре</t>
        </is>
      </c>
      <c r="I117" s="99" t="n"/>
      <c r="J117" s="100">
        <f t="array" ref="J117">IF(I117&lt;&gt;"",ROUND(INDEX('Каталог'!$F:$F,MATCH(I117,'Каталог'!$A:$A,0))/'Прайс'!$B$4,0),IFERROR(VLOOKUP(D117,'Прайс'!$A$7:$B$9,2,FALSE),'Прайс'!$B$2))</f>
        <v/>
      </c>
      <c r="K117" s="100">
        <f>IF(AND(C117&gt;0,J117&gt;0,E117&lt;&gt;"Продано"),ROUND(C117*J117,0),"")</f>
        <v/>
      </c>
      <c r="L117" s="100">
        <f>IF(AND(F117="Да",C117&gt;0,E117&lt;&gt;"Продано"),ROUND(C117*'Прайс'!$B$3,0),0)</f>
        <v/>
      </c>
      <c r="M117" s="100">
        <f t="array" ref="M117">IF(I117&lt;&gt;"",INDEX('Каталог'!$F:$F,MATCH(I117,'Каталог'!$A:$A,0)),"")</f>
        <v/>
      </c>
      <c r="N117" s="100">
        <f>IF(AND(E117&lt;&gt;"Продано",OR(K117&gt;0,M117&gt;0)),IFERROR(K117,0)+IFERROR(M117,0)+IFERROR(L117,0),"")</f>
        <v/>
      </c>
    </row>
    <row r="118" ht="15.75" customHeight="1" s="163">
      <c r="A118" s="99" t="n">
        <v>1664</v>
      </c>
      <c r="B118" s="99" t="inlineStr">
        <is>
          <t>Луначарского</t>
        </is>
      </c>
      <c r="C118" s="99" t="n">
        <v>500</v>
      </c>
      <c r="D118" s="99" t="inlineStr">
        <is>
          <t>Вид на море</t>
        </is>
      </c>
      <c r="E118" s="99" t="inlineStr">
        <is>
          <t>Свободно</t>
        </is>
      </c>
      <c r="F118" s="99" t="inlineStr">
        <is>
          <t>Нет</t>
        </is>
      </c>
      <c r="G118" s="99" t="inlineStr">
        <is>
          <t>1 ф М / 2 ф М</t>
        </is>
      </c>
      <c r="H118" s="104" t="inlineStr">
        <is>
          <t>1 эт.: Костеро, Линия 40, Линия 72, Логос, Логос мини, Арбор, Баня | 2 эт.: Палаццо, Эдем, Вилла Маре</t>
        </is>
      </c>
      <c r="I118" s="99" t="n"/>
      <c r="J118" s="100">
        <f t="array" ref="J118">IF(I118&lt;&gt;"",ROUND(INDEX('Каталог'!$F:$F,MATCH(I118,'Каталог'!$A:$A,0))/'Прайс'!$B$4,0),IFERROR(VLOOKUP(D118,'Прайс'!$A$7:$B$9,2,FALSE),'Прайс'!$B$2))</f>
        <v/>
      </c>
      <c r="K118" s="100">
        <f>IF(AND(C118&gt;0,J118&gt;0,E118&lt;&gt;"Продано"),ROUND(C118*J118,0),"")</f>
        <v/>
      </c>
      <c r="L118" s="100">
        <f>IF(AND(F118="Да",C118&gt;0,E118&lt;&gt;"Продано"),ROUND(C118*'Прайс'!$B$3,0),0)</f>
        <v/>
      </c>
      <c r="M118" s="100">
        <f t="array" ref="M118">IF(I118&lt;&gt;"",INDEX('Каталог'!$F:$F,MATCH(I118,'Каталог'!$A:$A,0)),"")</f>
        <v/>
      </c>
      <c r="N118" s="100">
        <f>IF(AND(E118&lt;&gt;"Продано",OR(K118&gt;0,M118&gt;0)),IFERROR(K118,0)+IFERROR(M118,0)+IFERROR(L118,0),"")</f>
        <v/>
      </c>
    </row>
    <row r="119" ht="15.75" customHeight="1" s="163">
      <c r="A119" s="99" t="n">
        <v>1665</v>
      </c>
      <c r="B119" s="99" t="inlineStr">
        <is>
          <t>Луначарского</t>
        </is>
      </c>
      <c r="C119" s="99" t="n">
        <v>500</v>
      </c>
      <c r="D119" s="99" t="inlineStr">
        <is>
          <t>Вид на море</t>
        </is>
      </c>
      <c r="E119" s="99" t="inlineStr">
        <is>
          <t>Свободно</t>
        </is>
      </c>
      <c r="F119" s="99" t="inlineStr">
        <is>
          <t>Нет</t>
        </is>
      </c>
      <c r="G119" s="99" t="inlineStr">
        <is>
          <t>1 ф М / 2 ф М</t>
        </is>
      </c>
      <c r="H119" s="104" t="inlineStr">
        <is>
          <t>1 эт.: Костеро, Линия 40, Линия 72, Логос, Логос мини, Арбор, Баня | 2 эт.: Палаццо, Эдем, Вилла Маре</t>
        </is>
      </c>
      <c r="I119" s="99" t="n"/>
      <c r="J119" s="100">
        <f t="array" ref="J119">IF(I119&lt;&gt;"",ROUND(INDEX('Каталог'!$F:$F,MATCH(I119,'Каталог'!$A:$A,0))/'Прайс'!$B$4,0),IFERROR(VLOOKUP(D119,'Прайс'!$A$7:$B$9,2,FALSE),'Прайс'!$B$2))</f>
        <v/>
      </c>
      <c r="K119" s="100">
        <f>IF(AND(C119&gt;0,J119&gt;0,E119&lt;&gt;"Продано"),ROUND(C119*J119,0),"")</f>
        <v/>
      </c>
      <c r="L119" s="100">
        <f>IF(AND(F119="Да",C119&gt;0,E119&lt;&gt;"Продано"),ROUND(C119*'Прайс'!$B$3,0),0)</f>
        <v/>
      </c>
      <c r="M119" s="100">
        <f t="array" ref="M119">IF(I119&lt;&gt;"",INDEX('Каталог'!$F:$F,MATCH(I119,'Каталог'!$A:$A,0)),"")</f>
        <v/>
      </c>
      <c r="N119" s="100">
        <f>IF(AND(E119&lt;&gt;"Продано",OR(K119&gt;0,M119&gt;0)),IFERROR(K119,0)+IFERROR(M119,0)+IFERROR(L119,0),"")</f>
        <v/>
      </c>
    </row>
    <row r="120" ht="15.75" customHeight="1" s="163">
      <c r="A120" s="99" t="n">
        <v>1666</v>
      </c>
      <c r="B120" s="99" t="inlineStr">
        <is>
          <t>Луначарского</t>
        </is>
      </c>
      <c r="C120" s="99" t="n">
        <v>500</v>
      </c>
      <c r="D120" s="99" t="inlineStr">
        <is>
          <t>Вид на море</t>
        </is>
      </c>
      <c r="E120" s="99" t="inlineStr">
        <is>
          <t>Свободно</t>
        </is>
      </c>
      <c r="F120" s="99" t="inlineStr">
        <is>
          <t>Нет</t>
        </is>
      </c>
      <c r="G120" s="99" t="inlineStr">
        <is>
          <t>1 ф М / 2 ф М</t>
        </is>
      </c>
      <c r="H120" s="104" t="inlineStr">
        <is>
          <t>1 эт.: Костеро, Линия 40, Линия 72, Логос, Логос мини, Арбор, Баня | 2 эт.: Палаццо, Эдем, Вилла Маре</t>
        </is>
      </c>
      <c r="I120" s="99" t="n"/>
      <c r="J120" s="100">
        <f t="array" ref="J120">IF(I120&lt;&gt;"",ROUND(INDEX('Каталог'!$F:$F,MATCH(I120,'Каталог'!$A:$A,0))/'Прайс'!$B$4,0),IFERROR(VLOOKUP(D120,'Прайс'!$A$7:$B$9,2,FALSE),'Прайс'!$B$2))</f>
        <v/>
      </c>
      <c r="K120" s="100">
        <f>IF(AND(C120&gt;0,J120&gt;0,E120&lt;&gt;"Продано"),ROUND(C120*J120,0),"")</f>
        <v/>
      </c>
      <c r="L120" s="100">
        <f>IF(AND(F120="Да",C120&gt;0,E120&lt;&gt;"Продано"),ROUND(C120*'Прайс'!$B$3,0),0)</f>
        <v/>
      </c>
      <c r="M120" s="100">
        <f t="array" ref="M120">IF(I120&lt;&gt;"",INDEX('Каталог'!$F:$F,MATCH(I120,'Каталог'!$A:$A,0)),"")</f>
        <v/>
      </c>
      <c r="N120" s="100">
        <f>IF(AND(E120&lt;&gt;"Продано",OR(K120&gt;0,M120&gt;0)),IFERROR(K120,0)+IFERROR(M120,0)+IFERROR(L120,0),"")</f>
        <v/>
      </c>
    </row>
    <row r="121" ht="15.75" customHeight="1" s="163">
      <c r="A121" s="99" t="n">
        <v>1667</v>
      </c>
      <c r="B121" s="99" t="inlineStr">
        <is>
          <t>Луначарского</t>
        </is>
      </c>
      <c r="C121" s="99" t="n">
        <v>500</v>
      </c>
      <c r="D121" s="99" t="inlineStr">
        <is>
          <t>Вид на море</t>
        </is>
      </c>
      <c r="E121" s="99" t="inlineStr">
        <is>
          <t>Свободно</t>
        </is>
      </c>
      <c r="F121" s="99" t="inlineStr">
        <is>
          <t>Нет</t>
        </is>
      </c>
      <c r="G121" s="99" t="inlineStr">
        <is>
          <t>1 ф М / 2 ф М</t>
        </is>
      </c>
      <c r="H121" s="104" t="inlineStr">
        <is>
          <t>1 эт.: Костеро, Линия 40, Линия 72, Логос, Логос мини, Арбор, Баня | 2 эт.: Палаццо, Эдем, Вилла Маре</t>
        </is>
      </c>
      <c r="I121" s="99" t="n"/>
      <c r="J121" s="100">
        <f t="array" ref="J121">IF(I121&lt;&gt;"",ROUND(INDEX('Каталог'!$F:$F,MATCH(I121,'Каталог'!$A:$A,0))/'Прайс'!$B$4,0),IFERROR(VLOOKUP(D121,'Прайс'!$A$7:$B$9,2,FALSE),'Прайс'!$B$2))</f>
        <v/>
      </c>
      <c r="K121" s="100">
        <f>IF(AND(C121&gt;0,J121&gt;0,E121&lt;&gt;"Продано"),ROUND(C121*J121,0),"")</f>
        <v/>
      </c>
      <c r="L121" s="100">
        <f>IF(AND(F121="Да",C121&gt;0,E121&lt;&gt;"Продано"),ROUND(C121*'Прайс'!$B$3,0),0)</f>
        <v/>
      </c>
      <c r="M121" s="100">
        <f t="array" ref="M121">IF(I121&lt;&gt;"",INDEX('Каталог'!$F:$F,MATCH(I121,'Каталог'!$A:$A,0)),"")</f>
        <v/>
      </c>
      <c r="N121" s="100">
        <f>IF(AND(E121&lt;&gt;"Продано",OR(K121&gt;0,M121&gt;0)),IFERROR(K121,0)+IFERROR(M121,0)+IFERROR(L121,0),"")</f>
        <v/>
      </c>
    </row>
    <row r="122" ht="15.75" customHeight="1" s="163">
      <c r="A122" s="99" t="n">
        <v>1668</v>
      </c>
      <c r="B122" s="99" t="inlineStr">
        <is>
          <t>Луначарского</t>
        </is>
      </c>
      <c r="C122" s="99" t="n">
        <v>500</v>
      </c>
      <c r="D122" s="99" t="inlineStr">
        <is>
          <t>Вид на море</t>
        </is>
      </c>
      <c r="E122" s="99" t="inlineStr">
        <is>
          <t>Свободно</t>
        </is>
      </c>
      <c r="F122" s="99" t="inlineStr">
        <is>
          <t>Нет</t>
        </is>
      </c>
      <c r="G122" s="99" t="inlineStr">
        <is>
          <t>1 ф М / 2 ф М</t>
        </is>
      </c>
      <c r="H122" s="104" t="inlineStr">
        <is>
          <t>1 эт.: Костеро, Линия 40, Линия 72, Логос, Логос мини, Арбор, Баня | 2 эт.: Палаццо, Эдем, Вилла Маре</t>
        </is>
      </c>
      <c r="I122" s="99" t="n"/>
      <c r="J122" s="100">
        <f t="array" ref="J122">IF(I122&lt;&gt;"",ROUND(INDEX('Каталог'!$F:$F,MATCH(I122,'Каталог'!$A:$A,0))/'Прайс'!$B$4,0),IFERROR(VLOOKUP(D122,'Прайс'!$A$7:$B$9,2,FALSE),'Прайс'!$B$2))</f>
        <v/>
      </c>
      <c r="K122" s="100">
        <f>IF(AND(C122&gt;0,J122&gt;0,E122&lt;&gt;"Продано"),ROUND(C122*J122,0),"")</f>
        <v/>
      </c>
      <c r="L122" s="100">
        <f>IF(AND(F122="Да",C122&gt;0,E122&lt;&gt;"Продано"),ROUND(C122*'Прайс'!$B$3,0),0)</f>
        <v/>
      </c>
      <c r="M122" s="100">
        <f t="array" ref="M122">IF(I122&lt;&gt;"",INDEX('Каталог'!$F:$F,MATCH(I122,'Каталог'!$A:$A,0)),"")</f>
        <v/>
      </c>
      <c r="N122" s="100">
        <f>IF(AND(E122&lt;&gt;"Продано",OR(K122&gt;0,M122&gt;0)),IFERROR(K122,0)+IFERROR(M122,0)+IFERROR(L122,0),"")</f>
        <v/>
      </c>
    </row>
    <row r="123" ht="15.75" customHeight="1" s="163">
      <c r="A123" s="99" t="n">
        <v>1669</v>
      </c>
      <c r="B123" s="99" t="inlineStr">
        <is>
          <t>Луначарского</t>
        </is>
      </c>
      <c r="C123" s="99" t="n">
        <v>662</v>
      </c>
      <c r="D123" s="99" t="inlineStr">
        <is>
          <t>Вид на море</t>
        </is>
      </c>
      <c r="E123" s="99" t="inlineStr">
        <is>
          <t>Свободно</t>
        </is>
      </c>
      <c r="F123" s="99" t="inlineStr">
        <is>
          <t>Да</t>
        </is>
      </c>
      <c r="G123" s="99" t="inlineStr">
        <is>
          <t>1 ф М / 2 ф М</t>
        </is>
      </c>
      <c r="H123" s="104" t="inlineStr">
        <is>
          <t>1 эт.: Костеро, Линия 40, Линия 72, Логос, Логос мини, Арбор, Баня | 2 эт.: Палаццо, Эдем, Вилла Маре</t>
        </is>
      </c>
      <c r="I123" s="99" t="n"/>
      <c r="J123" s="100">
        <f t="array" ref="J123">IF(I123&lt;&gt;"",ROUND(INDEX('Каталог'!$F:$F,MATCH(I123,'Каталог'!$A:$A,0))/'Прайс'!$B$4,0),IFERROR(VLOOKUP(D123,'Прайс'!$A$7:$B$9,2,FALSE),'Прайс'!$B$2))</f>
        <v/>
      </c>
      <c r="K123" s="100">
        <f>IF(AND(C123&gt;0,J123&gt;0,E123&lt;&gt;"Продано"),ROUND(C123*J123,0),"")</f>
        <v/>
      </c>
      <c r="L123" s="100">
        <f>IF(AND(F123="Да",C123&gt;0,E123&lt;&gt;"Продано"),ROUND(C123*'Прайс'!$B$3,0),0)</f>
        <v/>
      </c>
      <c r="M123" s="100">
        <f t="array" ref="M123">IF(I123&lt;&gt;"",INDEX('Каталог'!$F:$F,MATCH(I123,'Каталог'!$A:$A,0)),"")</f>
        <v/>
      </c>
      <c r="N123" s="100">
        <f>IF(AND(E123&lt;&gt;"Продано",OR(K123&gt;0,M123&gt;0)),IFERROR(K123,0)+IFERROR(M123,0)+IFERROR(L123,0),"")</f>
        <v/>
      </c>
    </row>
    <row r="124" ht="15.75" customHeight="1" s="163">
      <c r="A124" s="99" t="n">
        <v>1670</v>
      </c>
      <c r="B124" s="99" t="inlineStr">
        <is>
          <t>Луначарского</t>
        </is>
      </c>
      <c r="C124" s="99" t="n">
        <v>662</v>
      </c>
      <c r="D124" s="99" t="inlineStr">
        <is>
          <t>Вид на море</t>
        </is>
      </c>
      <c r="E124" s="99" t="inlineStr">
        <is>
          <t>Свободно</t>
        </is>
      </c>
      <c r="F124" s="99" t="inlineStr">
        <is>
          <t>Да</t>
        </is>
      </c>
      <c r="G124" s="99" t="inlineStr">
        <is>
          <t>1 ф М / 2 ф М</t>
        </is>
      </c>
      <c r="H124" s="104" t="inlineStr">
        <is>
          <t>1 эт.: Костеро, Линия 40, Линия 72, Логос, Логос мини, Арбор, Баня | 2 эт.: Палаццо, Эдем, Вилла Маре</t>
        </is>
      </c>
      <c r="I124" s="99" t="n"/>
      <c r="J124" s="100">
        <f t="array" ref="J124">IF(I124&lt;&gt;"",ROUND(INDEX('Каталог'!$F:$F,MATCH(I124,'Каталог'!$A:$A,0))/'Прайс'!$B$4,0),IFERROR(VLOOKUP(D124,'Прайс'!$A$7:$B$9,2,FALSE),'Прайс'!$B$2))</f>
        <v/>
      </c>
      <c r="K124" s="100">
        <f>IF(AND(C124&gt;0,J124&gt;0,E124&lt;&gt;"Продано"),ROUND(C124*J124,0),"")</f>
        <v/>
      </c>
      <c r="L124" s="100">
        <f>IF(AND(F124="Да",C124&gt;0,E124&lt;&gt;"Продано"),ROUND(C124*'Прайс'!$B$3,0),0)</f>
        <v/>
      </c>
      <c r="M124" s="100">
        <f t="array" ref="M124">IF(I124&lt;&gt;"",INDEX('Каталог'!$F:$F,MATCH(I124,'Каталог'!$A:$A,0)),"")</f>
        <v/>
      </c>
      <c r="N124" s="100">
        <f>IF(AND(E124&lt;&gt;"Продано",OR(K124&gt;0,M124&gt;0)),IFERROR(K124,0)+IFERROR(M124,0)+IFERROR(L124,0),"")</f>
        <v/>
      </c>
    </row>
    <row r="125" ht="15.75" customHeight="1" s="163">
      <c r="A125" s="99" t="n">
        <v>1671</v>
      </c>
      <c r="B125" s="99" t="inlineStr">
        <is>
          <t>Луначарского</t>
        </is>
      </c>
      <c r="C125" s="99" t="n">
        <v>500</v>
      </c>
      <c r="D125" s="99" t="inlineStr">
        <is>
          <t>Вид на море</t>
        </is>
      </c>
      <c r="E125" s="99" t="inlineStr">
        <is>
          <t>Свободно</t>
        </is>
      </c>
      <c r="F125" s="99" t="inlineStr">
        <is>
          <t>Нет</t>
        </is>
      </c>
      <c r="G125" s="99" t="inlineStr">
        <is>
          <t>1 ф М / 2 ф М</t>
        </is>
      </c>
      <c r="H125" s="104" t="inlineStr">
        <is>
          <t>1 эт.: Костеро, Линия 40, Линия 72, Логос, Логос мини, Арбор, Баня | 2 эт.: Палаццо, Эдем, Вилла Маре</t>
        </is>
      </c>
      <c r="I125" s="99" t="n"/>
      <c r="J125" s="100">
        <f t="array" ref="J125">IF(I125&lt;&gt;"",ROUND(INDEX('Каталог'!$F:$F,MATCH(I125,'Каталог'!$A:$A,0))/'Прайс'!$B$4,0),IFERROR(VLOOKUP(D125,'Прайс'!$A$7:$B$9,2,FALSE),'Прайс'!$B$2))</f>
        <v/>
      </c>
      <c r="K125" s="100">
        <f>IF(AND(C125&gt;0,J125&gt;0,E125&lt;&gt;"Продано"),ROUND(C125*J125,0),"")</f>
        <v/>
      </c>
      <c r="L125" s="100">
        <f>IF(AND(F125="Да",C125&gt;0,E125&lt;&gt;"Продано"),ROUND(C125*'Прайс'!$B$3,0),0)</f>
        <v/>
      </c>
      <c r="M125" s="100">
        <f t="array" ref="M125">IF(I125&lt;&gt;"",INDEX('Каталог'!$F:$F,MATCH(I125,'Каталог'!$A:$A,0)),"")</f>
        <v/>
      </c>
      <c r="N125" s="100">
        <f>IF(AND(E125&lt;&gt;"Продано",OR(K125&gt;0,M125&gt;0)),IFERROR(K125,0)+IFERROR(M125,0)+IFERROR(L125,0),"")</f>
        <v/>
      </c>
    </row>
    <row r="126" ht="15.75" customHeight="1" s="163">
      <c r="A126" s="99" t="n">
        <v>1673</v>
      </c>
      <c r="B126" s="99" t="inlineStr">
        <is>
          <t>Луначарского</t>
        </is>
      </c>
      <c r="C126" s="99" t="n">
        <v>647</v>
      </c>
      <c r="D126" s="99" t="inlineStr">
        <is>
          <t>Вид на море</t>
        </is>
      </c>
      <c r="E126" s="99" t="inlineStr">
        <is>
          <t>Свободно</t>
        </is>
      </c>
      <c r="F126" s="99" t="inlineStr">
        <is>
          <t>Да</t>
        </is>
      </c>
      <c r="G126" s="99" t="inlineStr">
        <is>
          <t>1 ф М / 2 ф М</t>
        </is>
      </c>
      <c r="H126" s="104" t="inlineStr">
        <is>
          <t>1 эт.: Костеро, Линия 40, Линия 72, Логос, Логос мини, Арбор, Баня | 2 эт.: Палаццо, Эдем, Вилла Маре</t>
        </is>
      </c>
      <c r="I126" s="99" t="n"/>
      <c r="J126" s="100">
        <f t="array" ref="J126">IF(I126&lt;&gt;"",ROUND(INDEX('Каталог'!$F:$F,MATCH(I126,'Каталог'!$A:$A,0))/'Прайс'!$B$4,0),IFERROR(VLOOKUP(D126,'Прайс'!$A$7:$B$9,2,FALSE),'Прайс'!$B$2))</f>
        <v/>
      </c>
      <c r="K126" s="100">
        <f>IF(AND(C126&gt;0,J126&gt;0,E126&lt;&gt;"Продано"),ROUND(C126*J126,0),"")</f>
        <v/>
      </c>
      <c r="L126" s="100">
        <f>IF(AND(F126="Да",C126&gt;0,E126&lt;&gt;"Продано"),ROUND(C126*'Прайс'!$B$3,0),0)</f>
        <v/>
      </c>
      <c r="M126" s="100">
        <f t="array" ref="M126">IF(I126&lt;&gt;"",INDEX('Каталог'!$F:$F,MATCH(I126,'Каталог'!$A:$A,0)),"")</f>
        <v/>
      </c>
      <c r="N126" s="100">
        <f>IF(AND(E126&lt;&gt;"Продано",OR(K126&gt;0,M126&gt;0)),IFERROR(K126,0)+IFERROR(M126,0)+IFERROR(L126,0),"")</f>
        <v/>
      </c>
    </row>
    <row r="127" ht="15.75" customHeight="1" s="163">
      <c r="A127" s="99" t="n">
        <v>1674</v>
      </c>
      <c r="B127" s="99" t="inlineStr">
        <is>
          <t>Луначарского</t>
        </is>
      </c>
      <c r="C127" s="99" t="n">
        <v>500</v>
      </c>
      <c r="D127" s="99" t="inlineStr">
        <is>
          <t>Вид на море</t>
        </is>
      </c>
      <c r="E127" s="99" t="inlineStr">
        <is>
          <t>Свободно</t>
        </is>
      </c>
      <c r="F127" s="99" t="inlineStr">
        <is>
          <t>Нет</t>
        </is>
      </c>
      <c r="G127" s="99" t="inlineStr">
        <is>
          <t>1 ф М / 2 ф М</t>
        </is>
      </c>
      <c r="H127" s="104" t="inlineStr">
        <is>
          <t>1 эт.: Костеро, Линия 40, Линия 72, Логос, Логос мини, Арбор, Баня | 2 эт.: Палаццо, Эдем, Вилла Маре</t>
        </is>
      </c>
      <c r="I127" s="99" t="n"/>
      <c r="J127" s="100">
        <f t="array" ref="J127">IF(I127&lt;&gt;"",ROUND(INDEX('Каталог'!$F:$F,MATCH(I127,'Каталог'!$A:$A,0))/'Прайс'!$B$4,0),IFERROR(VLOOKUP(D127,'Прайс'!$A$7:$B$9,2,FALSE),'Прайс'!$B$2))</f>
        <v/>
      </c>
      <c r="K127" s="100">
        <f>IF(AND(C127&gt;0,J127&gt;0,E127&lt;&gt;"Продано"),ROUND(C127*J127,0),"")</f>
        <v/>
      </c>
      <c r="L127" s="100">
        <f>IF(AND(F127="Да",C127&gt;0,E127&lt;&gt;"Продано"),ROUND(C127*'Прайс'!$B$3,0),0)</f>
        <v/>
      </c>
      <c r="M127" s="100">
        <f t="array" ref="M127">IF(I127&lt;&gt;"",INDEX('Каталог'!$F:$F,MATCH(I127,'Каталог'!$A:$A,0)),"")</f>
        <v/>
      </c>
      <c r="N127" s="100">
        <f>IF(AND(E127&lt;&gt;"Продано",OR(K127&gt;0,M127&gt;0)),IFERROR(K127,0)+IFERROR(M127,0)+IFERROR(L127,0),"")</f>
        <v/>
      </c>
    </row>
    <row r="128" ht="15.75" customHeight="1" s="163">
      <c r="A128" s="99" t="n">
        <v>1675</v>
      </c>
      <c r="B128" s="99" t="inlineStr">
        <is>
          <t>Луначарского</t>
        </is>
      </c>
      <c r="C128" s="99" t="n">
        <v>500</v>
      </c>
      <c r="D128" s="99" t="inlineStr">
        <is>
          <t>Вид на море</t>
        </is>
      </c>
      <c r="E128" s="99" t="inlineStr">
        <is>
          <t>Свободно</t>
        </is>
      </c>
      <c r="F128" s="99" t="inlineStr">
        <is>
          <t>Нет</t>
        </is>
      </c>
      <c r="G128" s="99" t="inlineStr">
        <is>
          <t>1 ф М / 2 ф М</t>
        </is>
      </c>
      <c r="H128" s="104" t="inlineStr">
        <is>
          <t>1 эт.: Костеро, Линия 40, Линия 72, Логос, Логос мини, Арбор, Баня | 2 эт.: Палаццо, Эдем, Вилла Маре</t>
        </is>
      </c>
      <c r="I128" s="99" t="n"/>
      <c r="J128" s="100">
        <f t="array" ref="J128">IF(I128&lt;&gt;"",ROUND(INDEX('Каталог'!$F:$F,MATCH(I128,'Каталог'!$A:$A,0))/'Прайс'!$B$4,0),IFERROR(VLOOKUP(D128,'Прайс'!$A$7:$B$9,2,FALSE),'Прайс'!$B$2))</f>
        <v/>
      </c>
      <c r="K128" s="100">
        <f>IF(AND(C128&gt;0,J128&gt;0,E128&lt;&gt;"Продано"),ROUND(C128*J128,0),"")</f>
        <v/>
      </c>
      <c r="L128" s="100">
        <f>IF(AND(F128="Да",C128&gt;0,E128&lt;&gt;"Продано"),ROUND(C128*'Прайс'!$B$3,0),0)</f>
        <v/>
      </c>
      <c r="M128" s="100">
        <f t="array" ref="M128">IF(I128&lt;&gt;"",INDEX('Каталог'!$F:$F,MATCH(I128,'Каталог'!$A:$A,0)),"")</f>
        <v/>
      </c>
      <c r="N128" s="100">
        <f>IF(AND(E128&lt;&gt;"Продано",OR(K128&gt;0,M128&gt;0)),IFERROR(K128,0)+IFERROR(M128,0)+IFERROR(L128,0),"")</f>
        <v/>
      </c>
    </row>
    <row r="129" ht="15.75" customHeight="1" s="163">
      <c r="A129" s="99" t="n">
        <v>1676</v>
      </c>
      <c r="B129" s="99" t="inlineStr">
        <is>
          <t>Луначарского</t>
        </is>
      </c>
      <c r="C129" s="99" t="n">
        <v>500</v>
      </c>
      <c r="D129" s="99" t="inlineStr">
        <is>
          <t>Вид на море</t>
        </is>
      </c>
      <c r="E129" s="99" t="inlineStr">
        <is>
          <t>Свободно</t>
        </is>
      </c>
      <c r="F129" s="99" t="inlineStr">
        <is>
          <t>Нет</t>
        </is>
      </c>
      <c r="G129" s="99" t="inlineStr">
        <is>
          <t>1 ф М / 2 ф М</t>
        </is>
      </c>
      <c r="H129" s="104" t="inlineStr">
        <is>
          <t>1 эт.: Костеро, Линия 40, Линия 72, Логос, Логос мини, Арбор, Баня | 2 эт.: Палаццо, Эдем, Вилла Маре</t>
        </is>
      </c>
      <c r="I129" s="99" t="n"/>
      <c r="J129" s="100">
        <f t="array" ref="J129">IF(I129&lt;&gt;"",ROUND(INDEX('Каталог'!$F:$F,MATCH(I129,'Каталог'!$A:$A,0))/'Прайс'!$B$4,0),IFERROR(VLOOKUP(D129,'Прайс'!$A$7:$B$9,2,FALSE),'Прайс'!$B$2))</f>
        <v/>
      </c>
      <c r="K129" s="100">
        <f>IF(AND(C129&gt;0,J129&gt;0,E129&lt;&gt;"Продано"),ROUND(C129*J129,0),"")</f>
        <v/>
      </c>
      <c r="L129" s="100">
        <f>IF(AND(F129="Да",C129&gt;0,E129&lt;&gt;"Продано"),ROUND(C129*'Прайс'!$B$3,0),0)</f>
        <v/>
      </c>
      <c r="M129" s="100">
        <f t="array" ref="M129">IF(I129&lt;&gt;"",INDEX('Каталог'!$F:$F,MATCH(I129,'Каталог'!$A:$A,0)),"")</f>
        <v/>
      </c>
      <c r="N129" s="100">
        <f>IF(AND(E129&lt;&gt;"Продано",OR(K129&gt;0,M129&gt;0)),IFERROR(K129,0)+IFERROR(M129,0)+IFERROR(L129,0),"")</f>
        <v/>
      </c>
    </row>
    <row r="130" ht="15.75" customHeight="1" s="163">
      <c r="A130" s="99" t="n">
        <v>1677</v>
      </c>
      <c r="B130" s="99" t="inlineStr">
        <is>
          <t>Луначарского</t>
        </is>
      </c>
      <c r="C130" s="99" t="n">
        <v>500</v>
      </c>
      <c r="D130" s="99" t="n"/>
      <c r="E130" s="99" t="inlineStr">
        <is>
          <t>Бронь</t>
        </is>
      </c>
      <c r="F130" s="99" t="inlineStr">
        <is>
          <t>Нет</t>
        </is>
      </c>
      <c r="G130" s="99" t="inlineStr">
        <is>
          <t>—</t>
        </is>
      </c>
      <c r="H130" s="104" t="inlineStr">
        <is>
          <t>—</t>
        </is>
      </c>
      <c r="I130" s="99" t="n"/>
      <c r="J130" s="100">
        <f t="array" ref="J130">IF(I130&lt;&gt;"",ROUND(INDEX('Каталог'!$F:$F,MATCH(I130,'Каталог'!$A:$A,0))/'Прайс'!$B$4,0),IFERROR(VLOOKUP(D130,'Прайс'!$A$7:$B$9,2,FALSE),'Прайс'!$B$2))</f>
        <v/>
      </c>
      <c r="K130" s="100">
        <f>IF(AND(C130&gt;0,J130&gt;0,E130&lt;&gt;"Продано"),ROUND(C130*J130,0),"")</f>
        <v/>
      </c>
      <c r="L130" s="100">
        <f>IF(AND(F130="Да",C130&gt;0,E130&lt;&gt;"Продано"),ROUND(C130*'Прайс'!$B$3,0),0)</f>
        <v/>
      </c>
      <c r="M130" s="100">
        <f t="array" ref="M130">IF(I130&lt;&gt;"",INDEX('Каталог'!$F:$F,MATCH(I130,'Каталог'!$A:$A,0)),"")</f>
        <v/>
      </c>
      <c r="N130" s="100">
        <f>IF(AND(E130&lt;&gt;"Продано",OR(K130&gt;0,M130&gt;0)),IFERROR(K130,0)+IFERROR(M130,0)+IFERROR(L130,0),"")</f>
        <v/>
      </c>
    </row>
    <row r="131" ht="15.75" customHeight="1" s="163">
      <c r="A131" s="99" t="n">
        <v>1678</v>
      </c>
      <c r="B131" s="99" t="inlineStr">
        <is>
          <t>Луначарского</t>
        </is>
      </c>
      <c r="C131" s="99" t="n">
        <v>646</v>
      </c>
      <c r="D131" s="99" t="n"/>
      <c r="E131" s="99" t="inlineStr">
        <is>
          <t>Бронь</t>
        </is>
      </c>
      <c r="F131" s="99" t="inlineStr">
        <is>
          <t>Да</t>
        </is>
      </c>
      <c r="G131" s="99" t="inlineStr">
        <is>
          <t>—</t>
        </is>
      </c>
      <c r="H131" s="104" t="inlineStr">
        <is>
          <t>—</t>
        </is>
      </c>
      <c r="I131" s="99" t="n"/>
      <c r="J131" s="100">
        <f t="array" ref="J131">IF(I131&lt;&gt;"",ROUND(INDEX('Каталог'!$F:$F,MATCH(I131,'Каталог'!$A:$A,0))/'Прайс'!$B$4,0),IFERROR(VLOOKUP(D131,'Прайс'!$A$7:$B$9,2,FALSE),'Прайс'!$B$2))</f>
        <v/>
      </c>
      <c r="K131" s="100">
        <f>IF(AND(C131&gt;0,J131&gt;0,E131&lt;&gt;"Продано"),ROUND(C131*J131,0),"")</f>
        <v/>
      </c>
      <c r="L131" s="100">
        <f>IF(AND(F131="Да",C131&gt;0,E131&lt;&gt;"Продано"),ROUND(C131*'Прайс'!$B$3,0),0)</f>
        <v/>
      </c>
      <c r="M131" s="100">
        <f t="array" ref="M131">IF(I131&lt;&gt;"",INDEX('Каталог'!$F:$F,MATCH(I131,'Каталог'!$A:$A,0)),"")</f>
        <v/>
      </c>
      <c r="N131" s="100">
        <f>IF(AND(E131&lt;&gt;"Продано",OR(K131&gt;0,M131&gt;0)),IFERROR(K131,0)+IFERROR(M131,0)+IFERROR(L131,0),"")</f>
        <v/>
      </c>
    </row>
    <row r="132" ht="15.75" customHeight="1" s="163">
      <c r="A132" s="99" t="n">
        <v>1679</v>
      </c>
      <c r="B132" s="99" t="inlineStr">
        <is>
          <t>Луначарского</t>
        </is>
      </c>
      <c r="C132" s="99" t="n">
        <v>500</v>
      </c>
      <c r="D132" s="99" t="n"/>
      <c r="E132" s="99" t="inlineStr">
        <is>
          <t>Бронь</t>
        </is>
      </c>
      <c r="F132" s="99" t="inlineStr">
        <is>
          <t>Нет</t>
        </is>
      </c>
      <c r="G132" s="99" t="inlineStr">
        <is>
          <t>—</t>
        </is>
      </c>
      <c r="H132" s="104" t="inlineStr">
        <is>
          <t>—</t>
        </is>
      </c>
      <c r="I132" s="99" t="n"/>
      <c r="J132" s="100">
        <f t="array" ref="J132">IF(I132&lt;&gt;"",ROUND(INDEX('Каталог'!$F:$F,MATCH(I132,'Каталог'!$A:$A,0))/'Прайс'!$B$4,0),IFERROR(VLOOKUP(D132,'Прайс'!$A$7:$B$9,2,FALSE),'Прайс'!$B$2))</f>
        <v/>
      </c>
      <c r="K132" s="100">
        <f>IF(AND(C132&gt;0,J132&gt;0,E132&lt;&gt;"Продано"),ROUND(C132*J132,0),"")</f>
        <v/>
      </c>
      <c r="L132" s="100">
        <f>IF(AND(F132="Да",C132&gt;0,E132&lt;&gt;"Продано"),ROUND(C132*'Прайс'!$B$3,0),0)</f>
        <v/>
      </c>
      <c r="M132" s="100">
        <f t="array" ref="M132">IF(I132&lt;&gt;"",INDEX('Каталог'!$F:$F,MATCH(I132,'Каталог'!$A:$A,0)),"")</f>
        <v/>
      </c>
      <c r="N132" s="100">
        <f>IF(AND(E132&lt;&gt;"Продано",OR(K132&gt;0,M132&gt;0)),IFERROR(K132,0)+IFERROR(M132,0)+IFERROR(L132,0),"")</f>
        <v/>
      </c>
    </row>
    <row r="133" ht="15.75" customHeight="1" s="163">
      <c r="A133" s="99" t="n">
        <v>1680</v>
      </c>
      <c r="B133" s="99" t="inlineStr">
        <is>
          <t>Луначарского</t>
        </is>
      </c>
      <c r="C133" s="99" t="n">
        <v>500</v>
      </c>
      <c r="D133" s="99" t="n"/>
      <c r="E133" s="99" t="inlineStr">
        <is>
          <t>Бронь</t>
        </is>
      </c>
      <c r="F133" s="99" t="inlineStr">
        <is>
          <t>Нет</t>
        </is>
      </c>
      <c r="G133" s="99" t="inlineStr">
        <is>
          <t>—</t>
        </is>
      </c>
      <c r="H133" s="104" t="inlineStr">
        <is>
          <t>—</t>
        </is>
      </c>
      <c r="I133" s="99" t="n"/>
      <c r="J133" s="100">
        <f t="array" ref="J133">IF(I133&lt;&gt;"",ROUND(INDEX('Каталог'!$F:$F,MATCH(I133,'Каталог'!$A:$A,0))/'Прайс'!$B$4,0),IFERROR(VLOOKUP(D133,'Прайс'!$A$7:$B$9,2,FALSE),'Прайс'!$B$2))</f>
        <v/>
      </c>
      <c r="K133" s="100">
        <f>IF(AND(C133&gt;0,J133&gt;0,E133&lt;&gt;"Продано"),ROUND(C133*J133,0),"")</f>
        <v/>
      </c>
      <c r="L133" s="100">
        <f>IF(AND(F133="Да",C133&gt;0,E133&lt;&gt;"Продано"),ROUND(C133*'Прайс'!$B$3,0),0)</f>
        <v/>
      </c>
      <c r="M133" s="100">
        <f t="array" ref="M133">IF(I133&lt;&gt;"",INDEX('Каталог'!$F:$F,MATCH(I133,'Каталог'!$A:$A,0)),"")</f>
        <v/>
      </c>
      <c r="N133" s="100">
        <f>IF(AND(E133&lt;&gt;"Продано",OR(K133&gt;0,M133&gt;0)),IFERROR(K133,0)+IFERROR(M133,0)+IFERROR(L133,0),"")</f>
        <v/>
      </c>
    </row>
    <row r="134" ht="15.75" customHeight="1" s="163">
      <c r="A134" s="99" t="n">
        <v>1681</v>
      </c>
      <c r="B134" s="99" t="inlineStr">
        <is>
          <t>Луначарского</t>
        </is>
      </c>
      <c r="C134" s="99" t="n">
        <v>500</v>
      </c>
      <c r="D134" s="99" t="n"/>
      <c r="E134" s="99" t="inlineStr">
        <is>
          <t>Бронь</t>
        </is>
      </c>
      <c r="F134" s="99" t="inlineStr">
        <is>
          <t>Нет</t>
        </is>
      </c>
      <c r="G134" s="99" t="inlineStr">
        <is>
          <t>—</t>
        </is>
      </c>
      <c r="H134" s="104" t="inlineStr">
        <is>
          <t>—</t>
        </is>
      </c>
      <c r="I134" s="99" t="n"/>
      <c r="J134" s="100">
        <f t="array" ref="J134">IF(I134&lt;&gt;"",ROUND(INDEX('Каталог'!$F:$F,MATCH(I134,'Каталог'!$A:$A,0))/'Прайс'!$B$4,0),IFERROR(VLOOKUP(D134,'Прайс'!$A$7:$B$9,2,FALSE),'Прайс'!$B$2))</f>
        <v/>
      </c>
      <c r="K134" s="100">
        <f>IF(AND(C134&gt;0,J134&gt;0,E134&lt;&gt;"Продано"),ROUND(C134*J134,0),"")</f>
        <v/>
      </c>
      <c r="L134" s="100">
        <f>IF(AND(F134="Да",C134&gt;0,E134&lt;&gt;"Продано"),ROUND(C134*'Прайс'!$B$3,0),0)</f>
        <v/>
      </c>
      <c r="M134" s="100">
        <f t="array" ref="M134">IF(I134&lt;&gt;"",INDEX('Каталог'!$F:$F,MATCH(I134,'Каталог'!$A:$A,0)),"")</f>
        <v/>
      </c>
      <c r="N134" s="100">
        <f>IF(AND(E134&lt;&gt;"Продано",OR(K134&gt;0,M134&gt;0)),IFERROR(K134,0)+IFERROR(M134,0)+IFERROR(L134,0),"")</f>
        <v/>
      </c>
    </row>
    <row r="135" ht="15.75" customHeight="1" s="163">
      <c r="A135" s="99" t="n">
        <v>1682</v>
      </c>
      <c r="B135" s="99" t="inlineStr">
        <is>
          <t>Луначарского</t>
        </is>
      </c>
      <c r="C135" s="99" t="n">
        <v>500</v>
      </c>
      <c r="D135" s="99" t="inlineStr">
        <is>
          <t>Вид на море</t>
        </is>
      </c>
      <c r="E135" s="99" t="inlineStr">
        <is>
          <t>Свободно</t>
        </is>
      </c>
      <c r="F135" s="99" t="inlineStr">
        <is>
          <t>Нет</t>
        </is>
      </c>
      <c r="G135" s="99" t="inlineStr">
        <is>
          <t>1 ф М / 2 ф М</t>
        </is>
      </c>
      <c r="H135" s="104" t="inlineStr">
        <is>
          <t>1 эт.: Костеро, Линия 40, Линия 72, Логос, Логос мини, Арбор, Баня | 2 эт.: Палаццо, Эдем, Вилла Маре</t>
        </is>
      </c>
      <c r="I135" s="99" t="n"/>
      <c r="J135" s="100">
        <f t="array" ref="J135">IF(I135&lt;&gt;"",ROUND(INDEX('Каталог'!$F:$F,MATCH(I135,'Каталог'!$A:$A,0))/'Прайс'!$B$4,0),IFERROR(VLOOKUP(D135,'Прайс'!$A$7:$B$9,2,FALSE),'Прайс'!$B$2))</f>
        <v/>
      </c>
      <c r="K135" s="100">
        <f>IF(AND(C135&gt;0,J135&gt;0,E135&lt;&gt;"Продано"),ROUND(C135*J135,0),"")</f>
        <v/>
      </c>
      <c r="L135" s="100">
        <f>IF(AND(F135="Да",C135&gt;0,E135&lt;&gt;"Продано"),ROUND(C135*'Прайс'!$B$3,0),0)</f>
        <v/>
      </c>
      <c r="M135" s="100">
        <f t="array" ref="M135">IF(I135&lt;&gt;"",INDEX('Каталог'!$F:$F,MATCH(I135,'Каталог'!$A:$A,0)),"")</f>
        <v/>
      </c>
      <c r="N135" s="100">
        <f>IF(AND(E135&lt;&gt;"Продано",OR(K135&gt;0,M135&gt;0)),IFERROR(K135,0)+IFERROR(M135,0)+IFERROR(L135,0),"")</f>
        <v/>
      </c>
    </row>
    <row r="136" ht="15.75" customHeight="1" s="163">
      <c r="A136" s="99" t="n">
        <v>1683</v>
      </c>
      <c r="B136" s="99" t="inlineStr">
        <is>
          <t>Луначарского</t>
        </is>
      </c>
      <c r="C136" s="99" t="n">
        <v>500</v>
      </c>
      <c r="D136" s="99" t="inlineStr">
        <is>
          <t>Вид на море</t>
        </is>
      </c>
      <c r="E136" s="99" t="inlineStr">
        <is>
          <t>Свободно</t>
        </is>
      </c>
      <c r="F136" s="99" t="inlineStr">
        <is>
          <t>Нет</t>
        </is>
      </c>
      <c r="G136" s="99" t="inlineStr">
        <is>
          <t>1 ф М / 2 ф М</t>
        </is>
      </c>
      <c r="H136" s="104" t="inlineStr">
        <is>
          <t>1 эт.: Костеро, Линия 40, Линия 72, Логос, Логос мини, Арбор, Баня | 2 эт.: Палаццо, Эдем, Вилла Маре</t>
        </is>
      </c>
      <c r="I136" s="99" t="n"/>
      <c r="J136" s="100">
        <f t="array" ref="J136">IF(I136&lt;&gt;"",ROUND(INDEX('Каталог'!$F:$F,MATCH(I136,'Каталог'!$A:$A,0))/'Прайс'!$B$4,0),IFERROR(VLOOKUP(D136,'Прайс'!$A$7:$B$9,2,FALSE),'Прайс'!$B$2))</f>
        <v/>
      </c>
      <c r="K136" s="100">
        <f>IF(AND(C136&gt;0,J136&gt;0,E136&lt;&gt;"Продано"),ROUND(C136*J136,0),"")</f>
        <v/>
      </c>
      <c r="L136" s="100">
        <f>IF(AND(F136="Да",C136&gt;0,E136&lt;&gt;"Продано"),ROUND(C136*'Прайс'!$B$3,0),0)</f>
        <v/>
      </c>
      <c r="M136" s="100">
        <f t="array" ref="M136">IF(I136&lt;&gt;"",INDEX('Каталог'!$F:$F,MATCH(I136,'Каталог'!$A:$A,0)),"")</f>
        <v/>
      </c>
      <c r="N136" s="100">
        <f>IF(AND(E136&lt;&gt;"Продано",OR(K136&gt;0,M136&gt;0)),IFERROR(K136,0)+IFERROR(M136,0)+IFERROR(L136,0),"")</f>
        <v/>
      </c>
    </row>
    <row r="137" ht="15.75" customHeight="1" s="163">
      <c r="A137" s="99" t="n">
        <v>1684</v>
      </c>
      <c r="B137" s="99" t="inlineStr">
        <is>
          <t>Луначарского</t>
        </is>
      </c>
      <c r="C137" s="99" t="n">
        <v>647</v>
      </c>
      <c r="D137" s="99" t="inlineStr">
        <is>
          <t>Вид на море</t>
        </is>
      </c>
      <c r="E137" s="99" t="inlineStr">
        <is>
          <t>Свободно</t>
        </is>
      </c>
      <c r="F137" s="99" t="inlineStr">
        <is>
          <t>Да</t>
        </is>
      </c>
      <c r="G137" s="99" t="inlineStr">
        <is>
          <t>1 ф М / 2 ф М</t>
        </is>
      </c>
      <c r="H137" s="104" t="inlineStr">
        <is>
          <t>1 эт.: Костеро, Линия 40, Линия 72, Логос, Логос мини, Арбор, Баня | 2 эт.: Палаццо, Эдем, Вилла Маре</t>
        </is>
      </c>
      <c r="I137" s="99" t="n"/>
      <c r="J137" s="100">
        <f t="array" ref="J137">IF(I137&lt;&gt;"",ROUND(INDEX('Каталог'!$F:$F,MATCH(I137,'Каталог'!$A:$A,0))/'Прайс'!$B$4,0),IFERROR(VLOOKUP(D137,'Прайс'!$A$7:$B$9,2,FALSE),'Прайс'!$B$2))</f>
        <v/>
      </c>
      <c r="K137" s="100">
        <f>IF(AND(C137&gt;0,J137&gt;0,E137&lt;&gt;"Продано"),ROUND(C137*J137,0),"")</f>
        <v/>
      </c>
      <c r="L137" s="100">
        <f>IF(AND(F137="Да",C137&gt;0,E137&lt;&gt;"Продано"),ROUND(C137*'Прайс'!$B$3,0),0)</f>
        <v/>
      </c>
      <c r="M137" s="100">
        <f t="array" ref="M137">IF(I137&lt;&gt;"",INDEX('Каталог'!$F:$F,MATCH(I137,'Каталог'!$A:$A,0)),"")</f>
        <v/>
      </c>
      <c r="N137" s="100">
        <f>IF(AND(E137&lt;&gt;"Продано",OR(K137&gt;0,M137&gt;0)),IFERROR(K137,0)+IFERROR(M137,0)+IFERROR(L137,0),"")</f>
        <v/>
      </c>
    </row>
    <row r="138" ht="15.75" customHeight="1" s="163">
      <c r="A138" s="99" t="n">
        <v>1685</v>
      </c>
      <c r="B138" s="99" t="inlineStr">
        <is>
          <t>Луначарского</t>
        </is>
      </c>
      <c r="C138" s="99" t="n">
        <v>647</v>
      </c>
      <c r="D138" s="99" t="inlineStr">
        <is>
          <t>Вид на море</t>
        </is>
      </c>
      <c r="E138" s="99" t="inlineStr">
        <is>
          <t>Свободно</t>
        </is>
      </c>
      <c r="F138" s="99" t="inlineStr">
        <is>
          <t>Да</t>
        </is>
      </c>
      <c r="G138" s="99" t="inlineStr">
        <is>
          <t>1 ф М / 2 ф М</t>
        </is>
      </c>
      <c r="H138" s="104" t="inlineStr">
        <is>
          <t>1 эт.: Костеро, Линия 40, Линия 72, Логос, Логос мини, Арбор, Баня | 2 эт.: Палаццо, Эдем, Вилла Маре</t>
        </is>
      </c>
      <c r="I138" s="99" t="n"/>
      <c r="J138" s="100">
        <f t="array" ref="J138">IF(I138&lt;&gt;"",ROUND(INDEX('Каталог'!$F:$F,MATCH(I138,'Каталог'!$A:$A,0))/'Прайс'!$B$4,0),IFERROR(VLOOKUP(D138,'Прайс'!$A$7:$B$9,2,FALSE),'Прайс'!$B$2))</f>
        <v/>
      </c>
      <c r="K138" s="100">
        <f>IF(AND(C138&gt;0,J138&gt;0,E138&lt;&gt;"Продано"),ROUND(C138*J138,0),"")</f>
        <v/>
      </c>
      <c r="L138" s="100">
        <f>IF(AND(F138="Да",C138&gt;0,E138&lt;&gt;"Продано"),ROUND(C138*'Прайс'!$B$3,0),0)</f>
        <v/>
      </c>
      <c r="M138" s="100">
        <f t="array" ref="M138">IF(I138&lt;&gt;"",INDEX('Каталог'!$F:$F,MATCH(I138,'Каталог'!$A:$A,0)),"")</f>
        <v/>
      </c>
      <c r="N138" s="100">
        <f>IF(AND(E138&lt;&gt;"Продано",OR(K138&gt;0,M138&gt;0)),IFERROR(K138,0)+IFERROR(M138,0)+IFERROR(L138,0),"")</f>
        <v/>
      </c>
    </row>
    <row r="139" ht="15.75" customHeight="1" s="163">
      <c r="A139" s="99" t="n">
        <v>1686</v>
      </c>
      <c r="B139" s="99" t="inlineStr">
        <is>
          <t>Луначарского</t>
        </is>
      </c>
      <c r="C139" s="99" t="n">
        <v>500</v>
      </c>
      <c r="D139" s="99" t="inlineStr">
        <is>
          <t>Вид на море</t>
        </is>
      </c>
      <c r="E139" s="99" t="inlineStr">
        <is>
          <t>Свободно</t>
        </is>
      </c>
      <c r="F139" s="99" t="inlineStr">
        <is>
          <t>Нет</t>
        </is>
      </c>
      <c r="G139" s="99" t="inlineStr">
        <is>
          <t>1 ф М / 2 ф М</t>
        </is>
      </c>
      <c r="H139" s="104" t="inlineStr">
        <is>
          <t>1 эт.: Костеро, Линия 40, Линия 72, Логос, Логос мини, Арбор, Баня | 2 эт.: Палаццо, Эдем, Вилла Маре</t>
        </is>
      </c>
      <c r="I139" s="99" t="n"/>
      <c r="J139" s="100">
        <f t="array" ref="J139">IF(I139&lt;&gt;"",ROUND(INDEX('Каталог'!$F:$F,MATCH(I139,'Каталог'!$A:$A,0))/'Прайс'!$B$4,0),IFERROR(VLOOKUP(D139,'Прайс'!$A$7:$B$9,2,FALSE),'Прайс'!$B$2))</f>
        <v/>
      </c>
      <c r="K139" s="100">
        <f>IF(AND(C139&gt;0,J139&gt;0,E139&lt;&gt;"Продано"),ROUND(C139*J139,0),"")</f>
        <v/>
      </c>
      <c r="L139" s="100">
        <f>IF(AND(F139="Да",C139&gt;0,E139&lt;&gt;"Продано"),ROUND(C139*'Прайс'!$B$3,0),0)</f>
        <v/>
      </c>
      <c r="M139" s="100">
        <f t="array" ref="M139">IF(I139&lt;&gt;"",INDEX('Каталог'!$F:$F,MATCH(I139,'Каталог'!$A:$A,0)),"")</f>
        <v/>
      </c>
      <c r="N139" s="100">
        <f>IF(AND(E139&lt;&gt;"Продано",OR(K139&gt;0,M139&gt;0)),IFERROR(K139,0)+IFERROR(M139,0)+IFERROR(L139,0),"")</f>
        <v/>
      </c>
    </row>
    <row r="140" ht="15.75" customHeight="1" s="163">
      <c r="A140" s="99" t="n">
        <v>1687</v>
      </c>
      <c r="B140" s="99" t="inlineStr">
        <is>
          <t>Луначарского</t>
        </is>
      </c>
      <c r="C140" s="99" t="n">
        <v>587</v>
      </c>
      <c r="D140" s="99" t="inlineStr">
        <is>
          <t>Вид на море</t>
        </is>
      </c>
      <c r="E140" s="99" t="inlineStr">
        <is>
          <t>Свободно</t>
        </is>
      </c>
      <c r="F140" s="99" t="inlineStr">
        <is>
          <t>Да</t>
        </is>
      </c>
      <c r="G140" s="99" t="inlineStr">
        <is>
          <t>1 ф М / 2 ф М</t>
        </is>
      </c>
      <c r="H140" s="104" t="inlineStr">
        <is>
          <t>1 эт.: Костеро, Линия 40, Линия 72, Логос, Логос мини, Арбор, Баня | 2 эт.: Палаццо, Эдем, Вилла Маре</t>
        </is>
      </c>
      <c r="I140" s="99" t="n"/>
      <c r="J140" s="100">
        <f t="array" ref="J140">IF(I140&lt;&gt;"",ROUND(INDEX('Каталог'!$F:$F,MATCH(I140,'Каталог'!$A:$A,0))/'Прайс'!$B$4,0),IFERROR(VLOOKUP(D140,'Прайс'!$A$7:$B$9,2,FALSE),'Прайс'!$B$2))</f>
        <v/>
      </c>
      <c r="K140" s="100">
        <f>IF(AND(C140&gt;0,J140&gt;0,E140&lt;&gt;"Продано"),ROUND(C140*J140,0),"")</f>
        <v/>
      </c>
      <c r="L140" s="100">
        <f>IF(AND(F140="Да",C140&gt;0,E140&lt;&gt;"Продано"),ROUND(C140*'Прайс'!$B$3,0),0)</f>
        <v/>
      </c>
      <c r="M140" s="100">
        <f t="array" ref="M140">IF(I140&lt;&gt;"",INDEX('Каталог'!$F:$F,MATCH(I140,'Каталог'!$A:$A,0)),"")</f>
        <v/>
      </c>
      <c r="N140" s="100">
        <f>IF(AND(E140&lt;&gt;"Продано",OR(K140&gt;0,M140&gt;0)),IFERROR(K140,0)+IFERROR(M140,0)+IFERROR(L140,0),"")</f>
        <v/>
      </c>
    </row>
    <row r="141" ht="15.75" customHeight="1" s="163">
      <c r="A141" s="99" t="n">
        <v>1688</v>
      </c>
      <c r="B141" s="99" t="inlineStr">
        <is>
          <t>Луначарского</t>
        </is>
      </c>
      <c r="C141" s="99" t="n">
        <v>500</v>
      </c>
      <c r="D141" s="99" t="inlineStr">
        <is>
          <t>Вид на море</t>
        </is>
      </c>
      <c r="E141" s="99" t="inlineStr">
        <is>
          <t>Свободно</t>
        </is>
      </c>
      <c r="F141" s="99" t="inlineStr">
        <is>
          <t>Нет</t>
        </is>
      </c>
      <c r="G141" s="99" t="inlineStr">
        <is>
          <t>1 ф М / 2 ф М</t>
        </is>
      </c>
      <c r="H141" s="104" t="inlineStr">
        <is>
          <t>1 эт.: Костеро, Линия 40, Линия 72, Логос, Логос мини, Арбор, Баня | 2 эт.: Палаццо, Эдем, Вилла Маре</t>
        </is>
      </c>
      <c r="I141" s="99" t="n"/>
      <c r="J141" s="100">
        <f t="array" ref="J141">IF(I141&lt;&gt;"",ROUND(INDEX('Каталог'!$F:$F,MATCH(I141,'Каталог'!$A:$A,0))/'Прайс'!$B$4,0),IFERROR(VLOOKUP(D141,'Прайс'!$A$7:$B$9,2,FALSE),'Прайс'!$B$2))</f>
        <v/>
      </c>
      <c r="K141" s="100">
        <f>IF(AND(C141&gt;0,J141&gt;0,E141&lt;&gt;"Продано"),ROUND(C141*J141,0),"")</f>
        <v/>
      </c>
      <c r="L141" s="100">
        <f>IF(AND(F141="Да",C141&gt;0,E141&lt;&gt;"Продано"),ROUND(C141*'Прайс'!$B$3,0),0)</f>
        <v/>
      </c>
      <c r="M141" s="100">
        <f t="array" ref="M141">IF(I141&lt;&gt;"",INDEX('Каталог'!$F:$F,MATCH(I141,'Каталог'!$A:$A,0)),"")</f>
        <v/>
      </c>
      <c r="N141" s="100">
        <f>IF(AND(E141&lt;&gt;"Продано",OR(K141&gt;0,M141&gt;0)),IFERROR(K141,0)+IFERROR(M141,0)+IFERROR(L141,0),"")</f>
        <v/>
      </c>
    </row>
    <row r="142" ht="15.75" customHeight="1" s="163">
      <c r="A142" s="99" t="n">
        <v>1689</v>
      </c>
      <c r="B142" s="99" t="inlineStr">
        <is>
          <t>Луначарского</t>
        </is>
      </c>
      <c r="C142" s="99" t="n">
        <v>500</v>
      </c>
      <c r="D142" s="99" t="inlineStr">
        <is>
          <t>Вид на море</t>
        </is>
      </c>
      <c r="E142" s="99" t="inlineStr">
        <is>
          <t>Свободно</t>
        </is>
      </c>
      <c r="F142" s="99" t="inlineStr">
        <is>
          <t>Нет</t>
        </is>
      </c>
      <c r="G142" s="99" t="inlineStr">
        <is>
          <t>1 ф М / 2 ф М</t>
        </is>
      </c>
      <c r="H142" s="104" t="inlineStr">
        <is>
          <t>1 эт.: Костеро, Линия 40, Линия 72, Логос, Логос мини, Арбор, Баня | 2 эт.: Палаццо, Эдем, Вилла Маре</t>
        </is>
      </c>
      <c r="I142" s="99" t="n"/>
      <c r="J142" s="100">
        <f t="array" ref="J142">IF(I142&lt;&gt;"",ROUND(INDEX('Каталог'!$F:$F,MATCH(I142,'Каталог'!$A:$A,0))/'Прайс'!$B$4,0),IFERROR(VLOOKUP(D142,'Прайс'!$A$7:$B$9,2,FALSE),'Прайс'!$B$2))</f>
        <v/>
      </c>
      <c r="K142" s="100">
        <f>IF(AND(C142&gt;0,J142&gt;0,E142&lt;&gt;"Продано"),ROUND(C142*J142,0),"")</f>
        <v/>
      </c>
      <c r="L142" s="100">
        <f>IF(AND(F142="Да",C142&gt;0,E142&lt;&gt;"Продано"),ROUND(C142*'Прайс'!$B$3,0),0)</f>
        <v/>
      </c>
      <c r="M142" s="100">
        <f t="array" ref="M142">IF(I142&lt;&gt;"",INDEX('Каталог'!$F:$F,MATCH(I142,'Каталог'!$A:$A,0)),"")</f>
        <v/>
      </c>
      <c r="N142" s="100">
        <f>IF(AND(E142&lt;&gt;"Продано",OR(K142&gt;0,M142&gt;0)),IFERROR(K142,0)+IFERROR(M142,0)+IFERROR(L142,0),"")</f>
        <v/>
      </c>
    </row>
    <row r="143" ht="15.75" customHeight="1" s="163">
      <c r="A143" s="99" t="n">
        <v>1690</v>
      </c>
      <c r="B143" s="99" t="inlineStr">
        <is>
          <t>Луначарского</t>
        </is>
      </c>
      <c r="C143" s="99" t="n">
        <v>500</v>
      </c>
      <c r="D143" s="99" t="inlineStr">
        <is>
          <t>Вид на море</t>
        </is>
      </c>
      <c r="E143" s="99" t="inlineStr">
        <is>
          <t>Свободно</t>
        </is>
      </c>
      <c r="F143" s="99" t="inlineStr">
        <is>
          <t>Нет</t>
        </is>
      </c>
      <c r="G143" s="99" t="inlineStr">
        <is>
          <t>1 ф М / 2 ф М</t>
        </is>
      </c>
      <c r="H143" s="104" t="inlineStr">
        <is>
          <t>1 эт.: Костеро, Линия 40, Линия 72, Логос, Логос мини, Арбор, Баня | 2 эт.: Палаццо, Эдем, Вилла Маре</t>
        </is>
      </c>
      <c r="I143" s="99" t="n"/>
      <c r="J143" s="100">
        <f t="array" ref="J143">IF(I143&lt;&gt;"",ROUND(INDEX('Каталог'!$F:$F,MATCH(I143,'Каталог'!$A:$A,0))/'Прайс'!$B$4,0),IFERROR(VLOOKUP(D143,'Прайс'!$A$7:$B$9,2,FALSE),'Прайс'!$B$2))</f>
        <v/>
      </c>
      <c r="K143" s="100">
        <f>IF(AND(C143&gt;0,J143&gt;0,E143&lt;&gt;"Продано"),ROUND(C143*J143,0),"")</f>
        <v/>
      </c>
      <c r="L143" s="100">
        <f>IF(AND(F143="Да",C143&gt;0,E143&lt;&gt;"Продано"),ROUND(C143*'Прайс'!$B$3,0),0)</f>
        <v/>
      </c>
      <c r="M143" s="100">
        <f t="array" ref="M143">IF(I143&lt;&gt;"",INDEX('Каталог'!$F:$F,MATCH(I143,'Каталог'!$A:$A,0)),"")</f>
        <v/>
      </c>
      <c r="N143" s="100">
        <f>IF(AND(E143&lt;&gt;"Продано",OR(K143&gt;0,M143&gt;0)),IFERROR(K143,0)+IFERROR(M143,0)+IFERROR(L143,0),"")</f>
        <v/>
      </c>
    </row>
    <row r="144" ht="15.75" customHeight="1" s="163">
      <c r="A144" s="99" t="n">
        <v>1691</v>
      </c>
      <c r="B144" s="99" t="inlineStr">
        <is>
          <t>Луначарского</t>
        </is>
      </c>
      <c r="C144" s="99" t="n">
        <v>500</v>
      </c>
      <c r="D144" s="99" t="inlineStr">
        <is>
          <t>Вид на море</t>
        </is>
      </c>
      <c r="E144" s="99" t="inlineStr">
        <is>
          <t>Свободно</t>
        </is>
      </c>
      <c r="F144" s="99" t="inlineStr">
        <is>
          <t>Нет</t>
        </is>
      </c>
      <c r="G144" s="99" t="inlineStr">
        <is>
          <t>1 ф М / 2 ф М</t>
        </is>
      </c>
      <c r="H144" s="104" t="inlineStr">
        <is>
          <t>1 эт.: Костеро, Линия 40, Линия 72, Логос, Логос мини, Арбор, Баня | 2 эт.: Палаццо, Эдем, Вилла Маре</t>
        </is>
      </c>
      <c r="I144" s="99" t="n"/>
      <c r="J144" s="100">
        <f t="array" ref="J144">IF(I144&lt;&gt;"",ROUND(INDEX('Каталог'!$F:$F,MATCH(I144,'Каталог'!$A:$A,0))/'Прайс'!$B$4,0),IFERROR(VLOOKUP(D144,'Прайс'!$A$7:$B$9,2,FALSE),'Прайс'!$B$2))</f>
        <v/>
      </c>
      <c r="K144" s="100">
        <f>IF(AND(C144&gt;0,J144&gt;0,E144&lt;&gt;"Продано"),ROUND(C144*J144,0),"")</f>
        <v/>
      </c>
      <c r="L144" s="100">
        <f>IF(AND(F144="Да",C144&gt;0,E144&lt;&gt;"Продано"),ROUND(C144*'Прайс'!$B$3,0),0)</f>
        <v/>
      </c>
      <c r="M144" s="100">
        <f t="array" ref="M144">IF(I144&lt;&gt;"",INDEX('Каталог'!$F:$F,MATCH(I144,'Каталог'!$A:$A,0)),"")</f>
        <v/>
      </c>
      <c r="N144" s="100">
        <f>IF(AND(E144&lt;&gt;"Продано",OR(K144&gt;0,M144&gt;0)),IFERROR(K144,0)+IFERROR(M144,0)+IFERROR(L144,0),"")</f>
        <v/>
      </c>
    </row>
    <row r="145" ht="15.75" customHeight="1" s="163">
      <c r="A145" s="99" t="n">
        <v>1692</v>
      </c>
      <c r="B145" s="99" t="inlineStr">
        <is>
          <t>Луначарского</t>
        </is>
      </c>
      <c r="C145" s="99" t="n">
        <v>500</v>
      </c>
      <c r="D145" s="99" t="inlineStr">
        <is>
          <t>Вид на море</t>
        </is>
      </c>
      <c r="E145" s="99" t="inlineStr">
        <is>
          <t>Свободно</t>
        </is>
      </c>
      <c r="F145" s="99" t="inlineStr">
        <is>
          <t>Нет</t>
        </is>
      </c>
      <c r="G145" s="99" t="inlineStr">
        <is>
          <t>1 ф М / 2 ф М</t>
        </is>
      </c>
      <c r="H145" s="104" t="inlineStr">
        <is>
          <t>1 эт.: Костеро, Линия 40, Линия 72, Логос, Логос мини, Арбор, Баня | 2 эт.: Палаццо, Эдем, Вилла Маре</t>
        </is>
      </c>
      <c r="I145" s="99" t="n"/>
      <c r="J145" s="100">
        <f t="array" ref="J145">IF(I145&lt;&gt;"",ROUND(INDEX('Каталог'!$F:$F,MATCH(I145,'Каталог'!$A:$A,0))/'Прайс'!$B$4,0),IFERROR(VLOOKUP(D145,'Прайс'!$A$7:$B$9,2,FALSE),'Прайс'!$B$2))</f>
        <v/>
      </c>
      <c r="K145" s="100">
        <f>IF(AND(C145&gt;0,J145&gt;0,E145&lt;&gt;"Продано"),ROUND(C145*J145,0),"")</f>
        <v/>
      </c>
      <c r="L145" s="100">
        <f>IF(AND(F145="Да",C145&gt;0,E145&lt;&gt;"Продано"),ROUND(C145*'Прайс'!$B$3,0),0)</f>
        <v/>
      </c>
      <c r="M145" s="100">
        <f t="array" ref="M145">IF(I145&lt;&gt;"",INDEX('Каталог'!$F:$F,MATCH(I145,'Каталог'!$A:$A,0)),"")</f>
        <v/>
      </c>
      <c r="N145" s="100">
        <f>IF(AND(E145&lt;&gt;"Продано",OR(K145&gt;0,M145&gt;0)),IFERROR(K145,0)+IFERROR(M145,0)+IFERROR(L145,0),"")</f>
        <v/>
      </c>
    </row>
    <row r="146" ht="15.75" customHeight="1" s="163">
      <c r="A146" s="99" t="n">
        <v>1693</v>
      </c>
      <c r="B146" s="99" t="inlineStr">
        <is>
          <t>Луначарского</t>
        </is>
      </c>
      <c r="C146" s="99" t="n">
        <v>500</v>
      </c>
      <c r="D146" s="99" t="inlineStr">
        <is>
          <t>Вид на море</t>
        </is>
      </c>
      <c r="E146" s="99" t="inlineStr">
        <is>
          <t>Свободно</t>
        </is>
      </c>
      <c r="F146" s="99" t="inlineStr">
        <is>
          <t>Нет</t>
        </is>
      </c>
      <c r="G146" s="99" t="inlineStr">
        <is>
          <t>1 ф М / 2 ф М</t>
        </is>
      </c>
      <c r="H146" s="104" t="inlineStr">
        <is>
          <t>1 эт.: Костеро, Линия 40, Линия 72, Логос, Логос мини, Арбор, Баня | 2 эт.: Палаццо, Эдем, Вилла Маре</t>
        </is>
      </c>
      <c r="I146" s="99" t="n"/>
      <c r="J146" s="100">
        <f t="array" ref="J146">IF(I146&lt;&gt;"",ROUND(INDEX('Каталог'!$F:$F,MATCH(I146,'Каталог'!$A:$A,0))/'Прайс'!$B$4,0),IFERROR(VLOOKUP(D146,'Прайс'!$A$7:$B$9,2,FALSE),'Прайс'!$B$2))</f>
        <v/>
      </c>
      <c r="K146" s="100">
        <f>IF(AND(C146&gt;0,J146&gt;0,E146&lt;&gt;"Продано"),ROUND(C146*J146,0),"")</f>
        <v/>
      </c>
      <c r="L146" s="100">
        <f>IF(AND(F146="Да",C146&gt;0,E146&lt;&gt;"Продано"),ROUND(C146*'Прайс'!$B$3,0),0)</f>
        <v/>
      </c>
      <c r="M146" s="100">
        <f t="array" ref="M146">IF(I146&lt;&gt;"",INDEX('Каталог'!$F:$F,MATCH(I146,'Каталог'!$A:$A,0)),"")</f>
        <v/>
      </c>
      <c r="N146" s="100">
        <f>IF(AND(E146&lt;&gt;"Продано",OR(K146&gt;0,M146&gt;0)),IFERROR(K146,0)+IFERROR(M146,0)+IFERROR(L146,0),"")</f>
        <v/>
      </c>
    </row>
    <row r="147" ht="15.75" customHeight="1" s="163">
      <c r="A147" s="99" t="n">
        <v>1694</v>
      </c>
      <c r="B147" s="99" t="inlineStr">
        <is>
          <t>Луначарского</t>
        </is>
      </c>
      <c r="C147" s="99" t="n">
        <v>590</v>
      </c>
      <c r="D147" s="99" t="inlineStr">
        <is>
          <t>Вид на море</t>
        </is>
      </c>
      <c r="E147" s="99" t="inlineStr">
        <is>
          <t>Свободно</t>
        </is>
      </c>
      <c r="F147" s="99" t="inlineStr">
        <is>
          <t>Да</t>
        </is>
      </c>
      <c r="G147" s="99" t="inlineStr">
        <is>
          <t>1 ф М / 2 ф М</t>
        </is>
      </c>
      <c r="H147" s="104" t="inlineStr">
        <is>
          <t>1 эт.: Костеро, Линия 40, Линия 72, Логос, Логос мини, Арбор, Баня | 2 эт.: Палаццо, Эдем, Вилла Маре</t>
        </is>
      </c>
      <c r="I147" s="99" t="n"/>
      <c r="J147" s="100">
        <f t="array" ref="J147">IF(I147&lt;&gt;"",ROUND(INDEX('Каталог'!$F:$F,MATCH(I147,'Каталог'!$A:$A,0))/'Прайс'!$B$4,0),IFERROR(VLOOKUP(D147,'Прайс'!$A$7:$B$9,2,FALSE),'Прайс'!$B$2))</f>
        <v/>
      </c>
      <c r="K147" s="100">
        <f>IF(AND(C147&gt;0,J147&gt;0,E147&lt;&gt;"Продано"),ROUND(C147*J147,0),"")</f>
        <v/>
      </c>
      <c r="L147" s="100">
        <f>IF(AND(F147="Да",C147&gt;0,E147&lt;&gt;"Продано"),ROUND(C147*'Прайс'!$B$3,0),0)</f>
        <v/>
      </c>
      <c r="M147" s="100">
        <f t="array" ref="M147">IF(I147&lt;&gt;"",INDEX('Каталог'!$F:$F,MATCH(I147,'Каталог'!$A:$A,0)),"")</f>
        <v/>
      </c>
      <c r="N147" s="100">
        <f>IF(AND(E147&lt;&gt;"Продано",OR(K147&gt;0,M147&gt;0)),IFERROR(K147,0)+IFERROR(M147,0)+IFERROR(L147,0),"")</f>
        <v/>
      </c>
    </row>
    <row r="148" ht="15.75" customHeight="1" s="163">
      <c r="A148" s="99" t="n">
        <v>1695</v>
      </c>
      <c r="B148" s="99" t="inlineStr">
        <is>
          <t>Луначарского</t>
        </is>
      </c>
      <c r="C148" s="99" t="n">
        <v>500</v>
      </c>
      <c r="D148" s="99" t="inlineStr">
        <is>
          <t>Вид на море</t>
        </is>
      </c>
      <c r="E148" s="99" t="inlineStr">
        <is>
          <t>Свободно</t>
        </is>
      </c>
      <c r="F148" s="99" t="inlineStr">
        <is>
          <t>Нет</t>
        </is>
      </c>
      <c r="G148" s="99" t="inlineStr">
        <is>
          <t>1 ф М / 2 ф М</t>
        </is>
      </c>
      <c r="H148" s="104" t="inlineStr">
        <is>
          <t>1 эт.: Костеро, Линия 40, Линия 72, Логос, Логос мини, Арбор, Баня | 2 эт.: Палаццо, Эдем, Вилла Маре</t>
        </is>
      </c>
      <c r="I148" s="99" t="n"/>
      <c r="J148" s="100">
        <f t="array" ref="J148">IF(I148&lt;&gt;"",ROUND(INDEX('Каталог'!$F:$F,MATCH(I148,'Каталог'!$A:$A,0))/'Прайс'!$B$4,0),IFERROR(VLOOKUP(D148,'Прайс'!$A$7:$B$9,2,FALSE),'Прайс'!$B$2))</f>
        <v/>
      </c>
      <c r="K148" s="100">
        <f>IF(AND(C148&gt;0,J148&gt;0,E148&lt;&gt;"Продано"),ROUND(C148*J148,0),"")</f>
        <v/>
      </c>
      <c r="L148" s="100">
        <f>IF(AND(F148="Да",C148&gt;0,E148&lt;&gt;"Продано"),ROUND(C148*'Прайс'!$B$3,0),0)</f>
        <v/>
      </c>
      <c r="M148" s="100">
        <f t="array" ref="M148">IF(I148&lt;&gt;"",INDEX('Каталог'!$F:$F,MATCH(I148,'Каталог'!$A:$A,0)),"")</f>
        <v/>
      </c>
      <c r="N148" s="100">
        <f>IF(AND(E148&lt;&gt;"Продано",OR(K148&gt;0,M148&gt;0)),IFERROR(K148,0)+IFERROR(M148,0)+IFERROR(L148,0),"")</f>
        <v/>
      </c>
    </row>
    <row r="149" ht="15.75" customHeight="1" s="163">
      <c r="A149" s="99" t="n">
        <v>1696</v>
      </c>
      <c r="B149" s="99" t="inlineStr">
        <is>
          <t>Луначарского</t>
        </is>
      </c>
      <c r="C149" s="99" t="n">
        <v>500</v>
      </c>
      <c r="D149" s="99" t="inlineStr">
        <is>
          <t>Вид на море</t>
        </is>
      </c>
      <c r="E149" s="99" t="inlineStr">
        <is>
          <t>Свободно</t>
        </is>
      </c>
      <c r="F149" s="99" t="inlineStr">
        <is>
          <t>Нет</t>
        </is>
      </c>
      <c r="G149" s="99" t="inlineStr">
        <is>
          <t>1 ф М / 2 ф М</t>
        </is>
      </c>
      <c r="H149" s="104" t="inlineStr">
        <is>
          <t>1 эт.: Костеро, Линия 40, Линия 72, Логос, Логос мини, Арбор, Баня | 2 эт.: Палаццо, Эдем, Вилла Маре</t>
        </is>
      </c>
      <c r="I149" s="99" t="n"/>
      <c r="J149" s="100">
        <f t="array" ref="J149">IF(I149&lt;&gt;"",ROUND(INDEX('Каталог'!$F:$F,MATCH(I149,'Каталог'!$A:$A,0))/'Прайс'!$B$4,0),IFERROR(VLOOKUP(D149,'Прайс'!$A$7:$B$9,2,FALSE),'Прайс'!$B$2))</f>
        <v/>
      </c>
      <c r="K149" s="100">
        <f>IF(AND(C149&gt;0,J149&gt;0,E149&lt;&gt;"Продано"),ROUND(C149*J149,0),"")</f>
        <v/>
      </c>
      <c r="L149" s="100">
        <f>IF(AND(F149="Да",C149&gt;0,E149&lt;&gt;"Продано"),ROUND(C149*'Прайс'!$B$3,0),0)</f>
        <v/>
      </c>
      <c r="M149" s="100">
        <f t="array" ref="M149">IF(I149&lt;&gt;"",INDEX('Каталог'!$F:$F,MATCH(I149,'Каталог'!$A:$A,0)),"")</f>
        <v/>
      </c>
      <c r="N149" s="100">
        <f>IF(AND(E149&lt;&gt;"Продано",OR(K149&gt;0,M149&gt;0)),IFERROR(K149,0)+IFERROR(M149,0)+IFERROR(L149,0),"")</f>
        <v/>
      </c>
    </row>
    <row r="150" ht="15.75" customHeight="1" s="163">
      <c r="A150" s="99" t="n">
        <v>1697</v>
      </c>
      <c r="B150" s="99" t="inlineStr">
        <is>
          <t>Луначарского</t>
        </is>
      </c>
      <c r="C150" s="99" t="n">
        <v>500</v>
      </c>
      <c r="D150" s="99" t="inlineStr">
        <is>
          <t>Вид на море</t>
        </is>
      </c>
      <c r="E150" s="99" t="inlineStr">
        <is>
          <t>Свободно</t>
        </is>
      </c>
      <c r="F150" s="99" t="inlineStr">
        <is>
          <t>Нет</t>
        </is>
      </c>
      <c r="G150" s="99" t="inlineStr">
        <is>
          <t>1 ф М / 2 ф М</t>
        </is>
      </c>
      <c r="H150" s="104" t="inlineStr">
        <is>
          <t>1 эт.: Костеро, Линия 40, Линия 72, Логос, Логос мини, Арбор, Баня | 2 эт.: Палаццо, Эдем, Вилла Маре</t>
        </is>
      </c>
      <c r="I150" s="99" t="n"/>
      <c r="J150" s="100">
        <f t="array" ref="J150">IF(I150&lt;&gt;"",ROUND(INDEX('Каталог'!$F:$F,MATCH(I150,'Каталог'!$A:$A,0))/'Прайс'!$B$4,0),IFERROR(VLOOKUP(D150,'Прайс'!$A$7:$B$9,2,FALSE),'Прайс'!$B$2))</f>
        <v/>
      </c>
      <c r="K150" s="100">
        <f>IF(AND(C150&gt;0,J150&gt;0,E150&lt;&gt;"Продано"),ROUND(C150*J150,0),"")</f>
        <v/>
      </c>
      <c r="L150" s="100">
        <f>IF(AND(F150="Да",C150&gt;0,E150&lt;&gt;"Продано"),ROUND(C150*'Прайс'!$B$3,0),0)</f>
        <v/>
      </c>
      <c r="M150" s="100">
        <f t="array" ref="M150">IF(I150&lt;&gt;"",INDEX('Каталог'!$F:$F,MATCH(I150,'Каталог'!$A:$A,0)),"")</f>
        <v/>
      </c>
      <c r="N150" s="100">
        <f>IF(AND(E150&lt;&gt;"Продано",OR(K150&gt;0,M150&gt;0)),IFERROR(K150,0)+IFERROR(M150,0)+IFERROR(L150,0),"")</f>
        <v/>
      </c>
    </row>
    <row r="151" ht="15.75" customHeight="1" s="163">
      <c r="A151" s="99" t="n">
        <v>1698</v>
      </c>
      <c r="B151" s="99" t="inlineStr">
        <is>
          <t>Луначарского</t>
        </is>
      </c>
      <c r="C151" s="99" t="n">
        <v>500</v>
      </c>
      <c r="D151" s="99" t="inlineStr">
        <is>
          <t>Вид на море</t>
        </is>
      </c>
      <c r="E151" s="99" t="inlineStr">
        <is>
          <t>Свободно</t>
        </is>
      </c>
      <c r="F151" s="99" t="inlineStr">
        <is>
          <t>Нет</t>
        </is>
      </c>
      <c r="G151" s="99" t="inlineStr">
        <is>
          <t>1 ф М / 2 ф М</t>
        </is>
      </c>
      <c r="H151" s="104" t="inlineStr">
        <is>
          <t>1 эт.: Костеро, Линия 40, Линия 72, Логос, Логос мини, Арбор, Баня | 2 эт.: Палаццо, Эдем, Вилла Маре</t>
        </is>
      </c>
      <c r="I151" s="99" t="n"/>
      <c r="J151" s="100">
        <f t="array" ref="J151">IF(I151&lt;&gt;"",ROUND(INDEX('Каталог'!$F:$F,MATCH(I151,'Каталог'!$A:$A,0))/'Прайс'!$B$4,0),IFERROR(VLOOKUP(D151,'Прайс'!$A$7:$B$9,2,FALSE),'Прайс'!$B$2))</f>
        <v/>
      </c>
      <c r="K151" s="100">
        <f>IF(AND(C151&gt;0,J151&gt;0,E151&lt;&gt;"Продано"),ROUND(C151*J151,0),"")</f>
        <v/>
      </c>
      <c r="L151" s="100">
        <f>IF(AND(F151="Да",C151&gt;0,E151&lt;&gt;"Продано"),ROUND(C151*'Прайс'!$B$3,0),0)</f>
        <v/>
      </c>
      <c r="M151" s="100">
        <f t="array" ref="M151">IF(I151&lt;&gt;"",INDEX('Каталог'!$F:$F,MATCH(I151,'Каталог'!$A:$A,0)),"")</f>
        <v/>
      </c>
      <c r="N151" s="100">
        <f>IF(AND(E151&lt;&gt;"Продано",OR(K151&gt;0,M151&gt;0)),IFERROR(K151,0)+IFERROR(M151,0)+IFERROR(L151,0),"")</f>
        <v/>
      </c>
    </row>
    <row r="152" ht="15.75" customHeight="1" s="163">
      <c r="A152" s="99" t="n">
        <v>1699</v>
      </c>
      <c r="B152" s="99" t="inlineStr">
        <is>
          <t>Луначарского</t>
        </is>
      </c>
      <c r="C152" s="99" t="n">
        <v>500</v>
      </c>
      <c r="D152" s="99" t="inlineStr">
        <is>
          <t>Вид на море</t>
        </is>
      </c>
      <c r="E152" s="99" t="inlineStr">
        <is>
          <t>Свободно</t>
        </is>
      </c>
      <c r="F152" s="99" t="inlineStr">
        <is>
          <t>Нет</t>
        </is>
      </c>
      <c r="G152" s="99" t="inlineStr">
        <is>
          <t>1 ф М / 2 ф М</t>
        </is>
      </c>
      <c r="H152" s="104" t="inlineStr">
        <is>
          <t>1 эт.: Костеро, Линия 40, Линия 72, Логос, Логос мини, Арбор, Баня | 2 эт.: Палаццо, Эдем, Вилла Маре</t>
        </is>
      </c>
      <c r="I152" s="99" t="n"/>
      <c r="J152" s="100">
        <f t="array" ref="J152">IF(I152&lt;&gt;"",ROUND(INDEX('Каталог'!$F:$F,MATCH(I152,'Каталог'!$A:$A,0))/'Прайс'!$B$4,0),IFERROR(VLOOKUP(D152,'Прайс'!$A$7:$B$9,2,FALSE),'Прайс'!$B$2))</f>
        <v/>
      </c>
      <c r="K152" s="100">
        <f>IF(AND(C152&gt;0,J152&gt;0,E152&lt;&gt;"Продано"),ROUND(C152*J152,0),"")</f>
        <v/>
      </c>
      <c r="L152" s="100">
        <f>IF(AND(F152="Да",C152&gt;0,E152&lt;&gt;"Продано"),ROUND(C152*'Прайс'!$B$3,0),0)</f>
        <v/>
      </c>
      <c r="M152" s="100">
        <f t="array" ref="M152">IF(I152&lt;&gt;"",INDEX('Каталог'!$F:$F,MATCH(I152,'Каталог'!$A:$A,0)),"")</f>
        <v/>
      </c>
      <c r="N152" s="100">
        <f>IF(AND(E152&lt;&gt;"Продано",OR(K152&gt;0,M152&gt;0)),IFERROR(K152,0)+IFERROR(M152,0)+IFERROR(L152,0),"")</f>
        <v/>
      </c>
    </row>
    <row r="153" ht="15.75" customHeight="1" s="163">
      <c r="A153" s="99" t="n">
        <v>1700</v>
      </c>
      <c r="B153" s="99" t="inlineStr">
        <is>
          <t>Луначарского</t>
        </is>
      </c>
      <c r="C153" s="99" t="n">
        <v>500</v>
      </c>
      <c r="D153" s="99" t="inlineStr">
        <is>
          <t>Вид на море</t>
        </is>
      </c>
      <c r="E153" s="99" t="inlineStr">
        <is>
          <t>Свободно</t>
        </is>
      </c>
      <c r="F153" s="99" t="inlineStr">
        <is>
          <t>Нет</t>
        </is>
      </c>
      <c r="G153" s="99" t="inlineStr">
        <is>
          <t>1 ф М / 2 ф М</t>
        </is>
      </c>
      <c r="H153" s="104" t="inlineStr">
        <is>
          <t>1 эт.: Костеро, Линия 40, Линия 72, Логос, Логос мини, Арбор, Баня | 2 эт.: Палаццо, Эдем, Вилла Маре</t>
        </is>
      </c>
      <c r="I153" s="99" t="n"/>
      <c r="J153" s="100">
        <f t="array" ref="J153">IF(I153&lt;&gt;"",ROUND(INDEX('Каталог'!$F:$F,MATCH(I153,'Каталог'!$A:$A,0))/'Прайс'!$B$4,0),IFERROR(VLOOKUP(D153,'Прайс'!$A$7:$B$9,2,FALSE),'Прайс'!$B$2))</f>
        <v/>
      </c>
      <c r="K153" s="100">
        <f>IF(AND(C153&gt;0,J153&gt;0,E153&lt;&gt;"Продано"),ROUND(C153*J153,0),"")</f>
        <v/>
      </c>
      <c r="L153" s="100">
        <f>IF(AND(F153="Да",C153&gt;0,E153&lt;&gt;"Продано"),ROUND(C153*'Прайс'!$B$3,0),0)</f>
        <v/>
      </c>
      <c r="M153" s="100">
        <f t="array" ref="M153">IF(I153&lt;&gt;"",INDEX('Каталог'!$F:$F,MATCH(I153,'Каталог'!$A:$A,0)),"")</f>
        <v/>
      </c>
      <c r="N153" s="100">
        <f>IF(AND(E153&lt;&gt;"Продано",OR(K153&gt;0,M153&gt;0)),IFERROR(K153,0)+IFERROR(M153,0)+IFERROR(L153,0),"")</f>
        <v/>
      </c>
    </row>
    <row r="154" ht="15.75" customHeight="1" s="163">
      <c r="A154" s="99" t="n">
        <v>1701</v>
      </c>
      <c r="B154" s="99" t="inlineStr">
        <is>
          <t>Луначарского</t>
        </is>
      </c>
      <c r="C154" s="99" t="n">
        <v>587</v>
      </c>
      <c r="D154" s="99" t="inlineStr">
        <is>
          <t>Вид на море</t>
        </is>
      </c>
      <c r="E154" s="99" t="inlineStr">
        <is>
          <t>Свободно</t>
        </is>
      </c>
      <c r="F154" s="99" t="inlineStr">
        <is>
          <t>Да</t>
        </is>
      </c>
      <c r="G154" s="99" t="inlineStr">
        <is>
          <t>1 ф М / 2 ф М</t>
        </is>
      </c>
      <c r="H154" s="104" t="inlineStr">
        <is>
          <t>1 эт.: Костеро, Линия 40, Линия 72, Логос, Логос мини, Арбор, Баня | 2 эт.: Палаццо, Эдем, Вилла Маре</t>
        </is>
      </c>
      <c r="I154" s="99" t="n"/>
      <c r="J154" s="100">
        <f t="array" ref="J154">IF(I154&lt;&gt;"",ROUND(INDEX('Каталог'!$F:$F,MATCH(I154,'Каталог'!$A:$A,0))/'Прайс'!$B$4,0),IFERROR(VLOOKUP(D154,'Прайс'!$A$7:$B$9,2,FALSE),'Прайс'!$B$2))</f>
        <v/>
      </c>
      <c r="K154" s="100">
        <f>IF(AND(C154&gt;0,J154&gt;0,E154&lt;&gt;"Продано"),ROUND(C154*J154,0),"")</f>
        <v/>
      </c>
      <c r="L154" s="100">
        <f>IF(AND(F154="Да",C154&gt;0,E154&lt;&gt;"Продано"),ROUND(C154*'Прайс'!$B$3,0),0)</f>
        <v/>
      </c>
      <c r="M154" s="100">
        <f t="array" ref="M154">IF(I154&lt;&gt;"",INDEX('Каталог'!$F:$F,MATCH(I154,'Каталог'!$A:$A,0)),"")</f>
        <v/>
      </c>
      <c r="N154" s="100">
        <f>IF(AND(E154&lt;&gt;"Продано",OR(K154&gt;0,M154&gt;0)),IFERROR(K154,0)+IFERROR(M154,0)+IFERROR(L154,0),"")</f>
        <v/>
      </c>
    </row>
    <row r="155" ht="15.75" customHeight="1" s="163">
      <c r="A155" s="99" t="n">
        <v>1702</v>
      </c>
      <c r="B155" s="99" t="inlineStr">
        <is>
          <t>Луначарского</t>
        </is>
      </c>
      <c r="C155" s="99" t="n">
        <v>590</v>
      </c>
      <c r="D155" s="99" t="inlineStr">
        <is>
          <t>Вид на море</t>
        </is>
      </c>
      <c r="E155" s="99" t="inlineStr">
        <is>
          <t>Свободно</t>
        </is>
      </c>
      <c r="F155" s="99" t="inlineStr">
        <is>
          <t>Да</t>
        </is>
      </c>
      <c r="G155" s="99" t="inlineStr">
        <is>
          <t>1 ф М / 2 ф М</t>
        </is>
      </c>
      <c r="H155" s="104" t="inlineStr">
        <is>
          <t>1 эт.: Костеро, Линия 40, Линия 72, Логос, Логос мини, Арбор, Баня | 2 эт.: Палаццо, Эдем, Вилла Маре</t>
        </is>
      </c>
      <c r="I155" s="99" t="n"/>
      <c r="J155" s="100">
        <f t="array" ref="J155">IF(I155&lt;&gt;"",ROUND(INDEX('Каталог'!$F:$F,MATCH(I155,'Каталог'!$A:$A,0))/'Прайс'!$B$4,0),IFERROR(VLOOKUP(D155,'Прайс'!$A$7:$B$9,2,FALSE),'Прайс'!$B$2))</f>
        <v/>
      </c>
      <c r="K155" s="100">
        <f>IF(AND(C155&gt;0,J155&gt;0,E155&lt;&gt;"Продано"),ROUND(C155*J155,0),"")</f>
        <v/>
      </c>
      <c r="L155" s="100">
        <f>IF(AND(F155="Да",C155&gt;0,E155&lt;&gt;"Продано"),ROUND(C155*'Прайс'!$B$3,0),0)</f>
        <v/>
      </c>
      <c r="M155" s="100">
        <f t="array" ref="M155">IF(I155&lt;&gt;"",INDEX('Каталог'!$F:$F,MATCH(I155,'Каталог'!$A:$A,0)),"")</f>
        <v/>
      </c>
      <c r="N155" s="100">
        <f>IF(AND(E155&lt;&gt;"Продано",OR(K155&gt;0,M155&gt;0)),IFERROR(K155,0)+IFERROR(M155,0)+IFERROR(L155,0),"")</f>
        <v/>
      </c>
    </row>
    <row r="156" ht="15.75" customHeight="1" s="163">
      <c r="A156" s="99" t="n">
        <v>1703</v>
      </c>
      <c r="B156" s="99" t="inlineStr">
        <is>
          <t>Луначарского</t>
        </is>
      </c>
      <c r="C156" s="99" t="n">
        <v>510</v>
      </c>
      <c r="D156" s="99" t="inlineStr">
        <is>
          <t>Панорама</t>
        </is>
      </c>
      <c r="E156" s="99" t="inlineStr">
        <is>
          <t>Свободно</t>
        </is>
      </c>
      <c r="F156" s="99" t="inlineStr">
        <is>
          <t>Да</t>
        </is>
      </c>
      <c r="G156" s="99" t="inlineStr">
        <is>
          <t>1 ф МВЛВ / 2ф МВЛВ</t>
        </is>
      </c>
      <c r="H156" s="104" t="inlineStr">
        <is>
          <t>1 эт.: Костеро, Линия 40, Линия 72, Логос, Логос мини, Арбор, Баня | 2 эт.: Палаццо, Эдем, Вилла Маре</t>
        </is>
      </c>
      <c r="I156" s="99" t="n"/>
      <c r="J156" s="100">
        <f t="array" ref="J156">IF(I156&lt;&gt;"",ROUND(INDEX('Каталог'!$F:$F,MATCH(I156,'Каталог'!$A:$A,0))/'Прайс'!$B$4,0),IFERROR(VLOOKUP(D156,'Прайс'!$A$7:$B$9,2,FALSE),'Прайс'!$B$2))</f>
        <v/>
      </c>
      <c r="K156" s="100">
        <f>IF(AND(C156&gt;0,J156&gt;0,E156&lt;&gt;"Продано"),ROUND(C156*J156,0),"")</f>
        <v/>
      </c>
      <c r="L156" s="100">
        <f>IF(AND(F156="Да",C156&gt;0,E156&lt;&gt;"Продано"),ROUND(C156*'Прайс'!$B$3,0),0)</f>
        <v/>
      </c>
      <c r="M156" s="100">
        <f t="array" ref="M156">IF(I156&lt;&gt;"",INDEX('Каталог'!$F:$F,MATCH(I156,'Каталог'!$A:$A,0)),"")</f>
        <v/>
      </c>
      <c r="N156" s="100">
        <f>IF(AND(E156&lt;&gt;"Продано",OR(K156&gt;0,M156&gt;0)),IFERROR(K156,0)+IFERROR(M156,0)+IFERROR(L156,0),"")</f>
        <v/>
      </c>
    </row>
    <row r="157" ht="15.75" customHeight="1" s="163">
      <c r="A157" s="99" t="n">
        <v>1704</v>
      </c>
      <c r="B157" s="99" t="inlineStr">
        <is>
          <t>Луначарского</t>
        </is>
      </c>
      <c r="C157" s="99" t="n">
        <v>500</v>
      </c>
      <c r="D157" s="99" t="inlineStr">
        <is>
          <t>Вид на море</t>
        </is>
      </c>
      <c r="E157" s="99" t="inlineStr">
        <is>
          <t>Свободно</t>
        </is>
      </c>
      <c r="F157" s="99" t="inlineStr">
        <is>
          <t>Нет</t>
        </is>
      </c>
      <c r="G157" s="99" t="inlineStr">
        <is>
          <t>1 ф М / 2 ф М</t>
        </is>
      </c>
      <c r="H157" s="104" t="inlineStr">
        <is>
          <t>1 эт.: Костеро, Линия 40, Линия 72, Логос, Логос мини, Арбор, Баня | 2 эт.: Палаццо, Эдем, Вилла Маре</t>
        </is>
      </c>
      <c r="I157" s="99" t="n"/>
      <c r="J157" s="100">
        <f t="array" ref="J157">IF(I157&lt;&gt;"",ROUND(INDEX('Каталог'!$F:$F,MATCH(I157,'Каталог'!$A:$A,0))/'Прайс'!$B$4,0),IFERROR(VLOOKUP(D157,'Прайс'!$A$7:$B$9,2,FALSE),'Прайс'!$B$2))</f>
        <v/>
      </c>
      <c r="K157" s="100">
        <f>IF(AND(C157&gt;0,J157&gt;0,E157&lt;&gt;"Продано"),ROUND(C157*J157,0),"")</f>
        <v/>
      </c>
      <c r="L157" s="100">
        <f>IF(AND(F157="Да",C157&gt;0,E157&lt;&gt;"Продано"),ROUND(C157*'Прайс'!$B$3,0),0)</f>
        <v/>
      </c>
      <c r="M157" s="100">
        <f t="array" ref="M157">IF(I157&lt;&gt;"",INDEX('Каталог'!$F:$F,MATCH(I157,'Каталог'!$A:$A,0)),"")</f>
        <v/>
      </c>
      <c r="N157" s="100">
        <f>IF(AND(E157&lt;&gt;"Продано",OR(K157&gt;0,M157&gt;0)),IFERROR(K157,0)+IFERROR(M157,0)+IFERROR(L157,0),"")</f>
        <v/>
      </c>
    </row>
    <row r="158" ht="15.75" customHeight="1" s="163">
      <c r="A158" s="99" t="n">
        <v>1705</v>
      </c>
      <c r="B158" s="99" t="inlineStr">
        <is>
          <t>Луначарского</t>
        </is>
      </c>
      <c r="C158" s="99" t="n">
        <v>500</v>
      </c>
      <c r="D158" s="99" t="inlineStr">
        <is>
          <t>Вид на море</t>
        </is>
      </c>
      <c r="E158" s="99" t="inlineStr">
        <is>
          <t>Свободно</t>
        </is>
      </c>
      <c r="F158" s="99" t="inlineStr">
        <is>
          <t>Нет</t>
        </is>
      </c>
      <c r="G158" s="99" t="inlineStr">
        <is>
          <t>1 ф М / 2 ф М</t>
        </is>
      </c>
      <c r="H158" s="104" t="inlineStr">
        <is>
          <t>1 эт.: Костеро, Линия 40, Линия 72, Логос, Логос мини, Арбор, Баня | 2 эт.: Палаццо, Эдем, Вилла Маре</t>
        </is>
      </c>
      <c r="I158" s="99" t="n"/>
      <c r="J158" s="100">
        <f t="array" ref="J158">IF(I158&lt;&gt;"",ROUND(INDEX('Каталог'!$F:$F,MATCH(I158,'Каталог'!$A:$A,0))/'Прайс'!$B$4,0),IFERROR(VLOOKUP(D158,'Прайс'!$A$7:$B$9,2,FALSE),'Прайс'!$B$2))</f>
        <v/>
      </c>
      <c r="K158" s="100">
        <f>IF(AND(C158&gt;0,J158&gt;0,E158&lt;&gt;"Продано"),ROUND(C158*J158,0),"")</f>
        <v/>
      </c>
      <c r="L158" s="100">
        <f>IF(AND(F158="Да",C158&gt;0,E158&lt;&gt;"Продано"),ROUND(C158*'Прайс'!$B$3,0),0)</f>
        <v/>
      </c>
      <c r="M158" s="100">
        <f t="array" ref="M158">IF(I158&lt;&gt;"",INDEX('Каталог'!$F:$F,MATCH(I158,'Каталог'!$A:$A,0)),"")</f>
        <v/>
      </c>
      <c r="N158" s="100">
        <f>IF(AND(E158&lt;&gt;"Продано",OR(K158&gt;0,M158&gt;0)),IFERROR(K158,0)+IFERROR(M158,0)+IFERROR(L158,0),"")</f>
        <v/>
      </c>
    </row>
    <row r="159" ht="15.75" customHeight="1" s="163">
      <c r="A159" s="99" t="n">
        <v>1706</v>
      </c>
      <c r="B159" s="99" t="inlineStr">
        <is>
          <t>Луначарского</t>
        </is>
      </c>
      <c r="C159" s="99" t="n">
        <v>500</v>
      </c>
      <c r="D159" s="99" t="inlineStr">
        <is>
          <t>Вид на море</t>
        </is>
      </c>
      <c r="E159" s="99" t="inlineStr">
        <is>
          <t>Свободно</t>
        </is>
      </c>
      <c r="F159" s="99" t="inlineStr">
        <is>
          <t>Нет</t>
        </is>
      </c>
      <c r="G159" s="99" t="inlineStr">
        <is>
          <t>1 ф М / 2 ф М</t>
        </is>
      </c>
      <c r="H159" s="104" t="inlineStr">
        <is>
          <t>1 эт.: Костеро, Линия 40, Линия 72, Логос, Логос мини, Арбор, Баня | 2 эт.: Палаццо, Эдем, Вилла Маре</t>
        </is>
      </c>
      <c r="I159" s="99" t="n"/>
      <c r="J159" s="100">
        <f t="array" ref="J159">IF(I159&lt;&gt;"",ROUND(INDEX('Каталог'!$F:$F,MATCH(I159,'Каталог'!$A:$A,0))/'Прайс'!$B$4,0),IFERROR(VLOOKUP(D159,'Прайс'!$A$7:$B$9,2,FALSE),'Прайс'!$B$2))</f>
        <v/>
      </c>
      <c r="K159" s="100">
        <f>IF(AND(C159&gt;0,J159&gt;0,E159&lt;&gt;"Продано"),ROUND(C159*J159,0),"")</f>
        <v/>
      </c>
      <c r="L159" s="100">
        <f>IF(AND(F159="Да",C159&gt;0,E159&lt;&gt;"Продано"),ROUND(C159*'Прайс'!$B$3,0),0)</f>
        <v/>
      </c>
      <c r="M159" s="100">
        <f t="array" ref="M159">IF(I159&lt;&gt;"",INDEX('Каталог'!$F:$F,MATCH(I159,'Каталог'!$A:$A,0)),"")</f>
        <v/>
      </c>
      <c r="N159" s="100">
        <f>IF(AND(E159&lt;&gt;"Продано",OR(K159&gt;0,M159&gt;0)),IFERROR(K159,0)+IFERROR(M159,0)+IFERROR(L159,0),"")</f>
        <v/>
      </c>
    </row>
    <row r="160" ht="15.75" customHeight="1" s="163">
      <c r="A160" s="99" t="n">
        <v>1707</v>
      </c>
      <c r="B160" s="99" t="inlineStr">
        <is>
          <t>Луначарского</t>
        </is>
      </c>
      <c r="C160" s="99" t="n">
        <v>500</v>
      </c>
      <c r="D160" s="99" t="inlineStr">
        <is>
          <t>Вид на море</t>
        </is>
      </c>
      <c r="E160" s="99" t="inlineStr">
        <is>
          <t>Свободно</t>
        </is>
      </c>
      <c r="F160" s="99" t="inlineStr">
        <is>
          <t>Нет</t>
        </is>
      </c>
      <c r="G160" s="99" t="inlineStr">
        <is>
          <t>1 ф М / 2 ф М</t>
        </is>
      </c>
      <c r="H160" s="104" t="inlineStr">
        <is>
          <t>1 эт.: Костеро, Линия 40, Линия 72, Логос, Логос мини, Арбор, Баня | 2 эт.: Палаццо, Эдем, Вилла Маре</t>
        </is>
      </c>
      <c r="I160" s="99" t="n"/>
      <c r="J160" s="100">
        <f t="array" ref="J160">IF(I160&lt;&gt;"",ROUND(INDEX('Каталог'!$F:$F,MATCH(I160,'Каталог'!$A:$A,0))/'Прайс'!$B$4,0),IFERROR(VLOOKUP(D160,'Прайс'!$A$7:$B$9,2,FALSE),'Прайс'!$B$2))</f>
        <v/>
      </c>
      <c r="K160" s="100">
        <f>IF(AND(C160&gt;0,J160&gt;0,E160&lt;&gt;"Продано"),ROUND(C160*J160,0),"")</f>
        <v/>
      </c>
      <c r="L160" s="100">
        <f>IF(AND(F160="Да",C160&gt;0,E160&lt;&gt;"Продано"),ROUND(C160*'Прайс'!$B$3,0),0)</f>
        <v/>
      </c>
      <c r="M160" s="100">
        <f t="array" ref="M160">IF(I160&lt;&gt;"",INDEX('Каталог'!$F:$F,MATCH(I160,'Каталог'!$A:$A,0)),"")</f>
        <v/>
      </c>
      <c r="N160" s="100">
        <f>IF(AND(E160&lt;&gt;"Продано",OR(K160&gt;0,M160&gt;0)),IFERROR(K160,0)+IFERROR(M160,0)+IFERROR(L160,0),"")</f>
        <v/>
      </c>
    </row>
    <row r="161" ht="15.75" customHeight="1" s="163">
      <c r="A161" s="99" t="n">
        <v>1708</v>
      </c>
      <c r="B161" s="99" t="inlineStr">
        <is>
          <t>Луначарского</t>
        </is>
      </c>
      <c r="C161" s="99" t="n"/>
      <c r="D161" s="99" t="inlineStr">
        <is>
          <t>Вид на море</t>
        </is>
      </c>
      <c r="E161" s="99" t="inlineStr">
        <is>
          <t>Свободно</t>
        </is>
      </c>
      <c r="F161" s="99" t="inlineStr">
        <is>
          <t>Нет</t>
        </is>
      </c>
      <c r="G161" s="99" t="inlineStr">
        <is>
          <t>1 ф М / 2 ф М</t>
        </is>
      </c>
      <c r="H161" s="104" t="inlineStr">
        <is>
          <t>1 эт.: Костеро, Линия 40, Линия 72, Логос, Логос мини, Арбор, Баня | 2 эт.: Палаццо, Эдем, Вилла Маре</t>
        </is>
      </c>
      <c r="I161" s="99" t="n"/>
      <c r="J161" s="100">
        <f t="array" ref="J161">IF(I161&lt;&gt;"",ROUND(INDEX('Каталог'!$F:$F,MATCH(I161,'Каталог'!$A:$A,0))/'Прайс'!$B$4,0),IFERROR(VLOOKUP(D161,'Прайс'!$A$7:$B$9,2,FALSE),'Прайс'!$B$2))</f>
        <v/>
      </c>
      <c r="K161" s="100">
        <f>IF(AND(C161&gt;0,J161&gt;0,E161&lt;&gt;"Продано"),ROUND(C161*J161,0),"")</f>
        <v/>
      </c>
      <c r="L161" s="100">
        <f>IF(AND(F161="Да",C161&gt;0,E161&lt;&gt;"Продано"),ROUND(C161*'Прайс'!$B$3,0),0)</f>
        <v/>
      </c>
      <c r="M161" s="100">
        <f t="array" ref="M161">IF(I161&lt;&gt;"",INDEX('Каталог'!$F:$F,MATCH(I161,'Каталог'!$A:$A,0)),"")</f>
        <v/>
      </c>
      <c r="N161" s="100">
        <f>IF(AND(E161&lt;&gt;"Продано",OR(K161&gt;0,M161&gt;0)),IFERROR(K161,0)+IFERROR(M161,0)+IFERROR(L161,0),"")</f>
        <v/>
      </c>
    </row>
    <row r="162" ht="15.75" customHeight="1" s="163">
      <c r="A162" s="99" t="n">
        <v>1709</v>
      </c>
      <c r="B162" s="99" t="inlineStr">
        <is>
          <t>Луначарского</t>
        </is>
      </c>
      <c r="C162" s="99" t="n">
        <v>500</v>
      </c>
      <c r="D162" s="99" t="inlineStr">
        <is>
          <t>Панорама</t>
        </is>
      </c>
      <c r="E162" s="99" t="inlineStr">
        <is>
          <t>Свободно</t>
        </is>
      </c>
      <c r="F162" s="99" t="inlineStr">
        <is>
          <t>Нет</t>
        </is>
      </c>
      <c r="G162" s="99" t="inlineStr">
        <is>
          <t>1 ф МВЛВ / 2ф МВЛВ</t>
        </is>
      </c>
      <c r="H162" s="104" t="inlineStr">
        <is>
          <t>1 эт.: Костеро, Линия 40, Линия 72, Логос, Логос мини, Арбор, Баня | 2 эт.: Палаццо, Эдем, Вилла Маре</t>
        </is>
      </c>
      <c r="I162" s="99" t="n"/>
      <c r="J162" s="100">
        <f t="array" ref="J162">IF(I162&lt;&gt;"",ROUND(INDEX('Каталог'!$F:$F,MATCH(I162,'Каталог'!$A:$A,0))/'Прайс'!$B$4,0),IFERROR(VLOOKUP(D162,'Прайс'!$A$7:$B$9,2,FALSE),'Прайс'!$B$2))</f>
        <v/>
      </c>
      <c r="K162" s="100">
        <f>IF(AND(C162&gt;0,J162&gt;0,E162&lt;&gt;"Продано"),ROUND(C162*J162,0),"")</f>
        <v/>
      </c>
      <c r="L162" s="100">
        <f>IF(AND(F162="Да",C162&gt;0,E162&lt;&gt;"Продано"),ROUND(C162*'Прайс'!$B$3,0),0)</f>
        <v/>
      </c>
      <c r="M162" s="100">
        <f t="array" ref="M162">IF(I162&lt;&gt;"",INDEX('Каталог'!$F:$F,MATCH(I162,'Каталог'!$A:$A,0)),"")</f>
        <v/>
      </c>
      <c r="N162" s="100">
        <f>IF(AND(E162&lt;&gt;"Продано",OR(K162&gt;0,M162&gt;0)),IFERROR(K162,0)+IFERROR(M162,0)+IFERROR(L162,0),"")</f>
        <v/>
      </c>
    </row>
    <row r="163" ht="15.75" customHeight="1" s="163">
      <c r="A163" s="99" t="n">
        <v>1710</v>
      </c>
      <c r="B163" s="99" t="inlineStr">
        <is>
          <t>Луначарского</t>
        </is>
      </c>
      <c r="C163" s="99" t="n">
        <v>500</v>
      </c>
      <c r="D163" s="99" t="inlineStr">
        <is>
          <t>Панорама</t>
        </is>
      </c>
      <c r="E163" s="99" t="inlineStr">
        <is>
          <t>Свободно</t>
        </is>
      </c>
      <c r="F163" s="99" t="inlineStr">
        <is>
          <t>Нет</t>
        </is>
      </c>
      <c r="G163" s="99" t="inlineStr">
        <is>
          <t>1 ф МВЛВ / 2ф МВЛВ</t>
        </is>
      </c>
      <c r="H163" s="104" t="inlineStr">
        <is>
          <t>1 эт.: Костеро, Линия 40, Линия 72, Логос, Логос мини, Арбор, Баня | 2 эт.: Палаццо, Эдем, Вилла Маре</t>
        </is>
      </c>
      <c r="I163" s="99" t="n"/>
      <c r="J163" s="100">
        <f t="array" ref="J163">IF(I163&lt;&gt;"",ROUND(INDEX('Каталог'!$F:$F,MATCH(I163,'Каталог'!$A:$A,0))/'Прайс'!$B$4,0),IFERROR(VLOOKUP(D163,'Прайс'!$A$7:$B$9,2,FALSE),'Прайс'!$B$2))</f>
        <v/>
      </c>
      <c r="K163" s="100">
        <f>IF(AND(C163&gt;0,J163&gt;0,E163&lt;&gt;"Продано"),ROUND(C163*J163,0),"")</f>
        <v/>
      </c>
      <c r="L163" s="100">
        <f>IF(AND(F163="Да",C163&gt;0,E163&lt;&gt;"Продано"),ROUND(C163*'Прайс'!$B$3,0),0)</f>
        <v/>
      </c>
      <c r="M163" s="100">
        <f t="array" ref="M163">IF(I163&lt;&gt;"",INDEX('Каталог'!$F:$F,MATCH(I163,'Каталог'!$A:$A,0)),"")</f>
        <v/>
      </c>
      <c r="N163" s="100">
        <f>IF(AND(E163&lt;&gt;"Продано",OR(K163&gt;0,M163&gt;0)),IFERROR(K163,0)+IFERROR(M163,0)+IFERROR(L163,0),"")</f>
        <v/>
      </c>
    </row>
    <row r="164" ht="15.75" customHeight="1" s="163">
      <c r="A164" s="99" t="n">
        <v>1711</v>
      </c>
      <c r="B164" s="99" t="inlineStr">
        <is>
          <t>Луначарского</t>
        </is>
      </c>
      <c r="C164" s="99" t="n">
        <v>500</v>
      </c>
      <c r="D164" s="99" t="n"/>
      <c r="E164" s="99" t="inlineStr">
        <is>
          <t>Резерв</t>
        </is>
      </c>
      <c r="F164" s="99" t="inlineStr">
        <is>
          <t>Нет</t>
        </is>
      </c>
      <c r="G164" s="99" t="inlineStr">
        <is>
          <t>—</t>
        </is>
      </c>
      <c r="H164" s="104" t="inlineStr">
        <is>
          <t>—</t>
        </is>
      </c>
      <c r="I164" s="99" t="n"/>
      <c r="J164" s="100">
        <f t="array" ref="J164">IF(I164&lt;&gt;"",ROUND(INDEX('Каталог'!$F:$F,MATCH(I164,'Каталог'!$A:$A,0))/'Прайс'!$B$4,0),IFERROR(VLOOKUP(D164,'Прайс'!$A$7:$B$9,2,FALSE),'Прайс'!$B$2))</f>
        <v/>
      </c>
      <c r="K164" s="100">
        <f>IF(AND(C164&gt;0,J164&gt;0,E164&lt;&gt;"Продано"),ROUND(C164*J164,0),"")</f>
        <v/>
      </c>
      <c r="L164" s="100">
        <f>IF(AND(F164="Да",C164&gt;0,E164&lt;&gt;"Продано"),ROUND(C164*'Прайс'!$B$3,0),0)</f>
        <v/>
      </c>
      <c r="M164" s="100">
        <f t="array" ref="M164">IF(I164&lt;&gt;"",INDEX('Каталог'!$F:$F,MATCH(I164,'Каталог'!$A:$A,0)),"")</f>
        <v/>
      </c>
      <c r="N164" s="100">
        <f>IF(AND(E164&lt;&gt;"Продано",OR(K164&gt;0,M164&gt;0)),IFERROR(K164,0)+IFERROR(M164,0)+IFERROR(L164,0),"")</f>
        <v/>
      </c>
    </row>
    <row r="165" ht="15.75" customHeight="1" s="163">
      <c r="A165" s="99" t="n">
        <v>1712</v>
      </c>
      <c r="B165" s="99" t="inlineStr">
        <is>
          <t>Луначарского</t>
        </is>
      </c>
      <c r="C165" s="99" t="n">
        <v>500</v>
      </c>
      <c r="D165" s="99" t="n"/>
      <c r="E165" s="99" t="inlineStr">
        <is>
          <t>Резерв</t>
        </is>
      </c>
      <c r="F165" s="99" t="inlineStr">
        <is>
          <t>Нет</t>
        </is>
      </c>
      <c r="G165" s="99" t="inlineStr">
        <is>
          <t>—</t>
        </is>
      </c>
      <c r="H165" s="104" t="inlineStr">
        <is>
          <t>—</t>
        </is>
      </c>
      <c r="I165" s="99" t="n"/>
      <c r="J165" s="100">
        <f t="array" ref="J165">IF(I165&lt;&gt;"",ROUND(INDEX('Каталог'!$F:$F,MATCH(I165,'Каталог'!$A:$A,0))/'Прайс'!$B$4,0),IFERROR(VLOOKUP(D165,'Прайс'!$A$7:$B$9,2,FALSE),'Прайс'!$B$2))</f>
        <v/>
      </c>
      <c r="K165" s="100">
        <f>IF(AND(C165&gt;0,J165&gt;0,E165&lt;&gt;"Продано"),ROUND(C165*J165,0),"")</f>
        <v/>
      </c>
      <c r="L165" s="100">
        <f>IF(AND(F165="Да",C165&gt;0,E165&lt;&gt;"Продано"),ROUND(C165*'Прайс'!$B$3,0),0)</f>
        <v/>
      </c>
      <c r="M165" s="100">
        <f t="array" ref="M165">IF(I165&lt;&gt;"",INDEX('Каталог'!$F:$F,MATCH(I165,'Каталог'!$A:$A,0)),"")</f>
        <v/>
      </c>
      <c r="N165" s="100">
        <f>IF(AND(E165&lt;&gt;"Продано",OR(K165&gt;0,M165&gt;0)),IFERROR(K165,0)+IFERROR(M165,0)+IFERROR(L165,0),"")</f>
        <v/>
      </c>
    </row>
    <row r="166" ht="15.75" customHeight="1" s="163">
      <c r="A166" s="99" t="n">
        <v>1713</v>
      </c>
      <c r="B166" s="99" t="inlineStr">
        <is>
          <t>Луначарского</t>
        </is>
      </c>
      <c r="C166" s="99" t="n">
        <v>500</v>
      </c>
      <c r="D166" s="99" t="n"/>
      <c r="E166" s="99" t="inlineStr">
        <is>
          <t>Резерв</t>
        </is>
      </c>
      <c r="F166" s="99" t="inlineStr">
        <is>
          <t>Нет</t>
        </is>
      </c>
      <c r="G166" s="99" t="inlineStr">
        <is>
          <t>—</t>
        </is>
      </c>
      <c r="H166" s="104" t="inlineStr">
        <is>
          <t>—</t>
        </is>
      </c>
      <c r="I166" s="99" t="n"/>
      <c r="J166" s="100">
        <f t="array" ref="J166">IF(I166&lt;&gt;"",ROUND(INDEX('Каталог'!$F:$F,MATCH(I166,'Каталог'!$A:$A,0))/'Прайс'!$B$4,0),IFERROR(VLOOKUP(D166,'Прайс'!$A$7:$B$9,2,FALSE),'Прайс'!$B$2))</f>
        <v/>
      </c>
      <c r="K166" s="100">
        <f>IF(AND(C166&gt;0,J166&gt;0,E166&lt;&gt;"Продано"),ROUND(C166*J166,0),"")</f>
        <v/>
      </c>
      <c r="L166" s="100">
        <f>IF(AND(F166="Да",C166&gt;0,E166&lt;&gt;"Продано"),ROUND(C166*'Прайс'!$B$3,0),0)</f>
        <v/>
      </c>
      <c r="M166" s="100">
        <f t="array" ref="M166">IF(I166&lt;&gt;"",INDEX('Каталог'!$F:$F,MATCH(I166,'Каталог'!$A:$A,0)),"")</f>
        <v/>
      </c>
      <c r="N166" s="100">
        <f>IF(AND(E166&lt;&gt;"Продано",OR(K166&gt;0,M166&gt;0)),IFERROR(K166,0)+IFERROR(M166,0)+IFERROR(L166,0),"")</f>
        <v/>
      </c>
    </row>
    <row r="167" ht="15.75" customHeight="1" s="163">
      <c r="A167" s="99" t="n">
        <v>1714</v>
      </c>
      <c r="B167" s="99" t="inlineStr">
        <is>
          <t>Луначарского</t>
        </is>
      </c>
      <c r="C167" s="99" t="n">
        <v>500</v>
      </c>
      <c r="D167" s="99" t="inlineStr">
        <is>
          <t>Панорама</t>
        </is>
      </c>
      <c r="E167" s="99" t="inlineStr">
        <is>
          <t>Свободно</t>
        </is>
      </c>
      <c r="F167" s="99" t="inlineStr">
        <is>
          <t>Нет</t>
        </is>
      </c>
      <c r="G167" s="99" t="inlineStr">
        <is>
          <t>1 ф МВЛВ / 2ф МВЛВ</t>
        </is>
      </c>
      <c r="H167" s="104" t="inlineStr">
        <is>
          <t>1 эт.: Костеро, Линия 40, Линия 72, Логос, Логос мини, Арбор, Баня | 2 эт.: Палаццо, Эдем, Вилла Маре</t>
        </is>
      </c>
      <c r="I167" s="99" t="n"/>
      <c r="J167" s="100">
        <f t="array" ref="J167">IF(I167&lt;&gt;"",ROUND(INDEX('Каталог'!$F:$F,MATCH(I167,'Каталог'!$A:$A,0))/'Прайс'!$B$4,0),IFERROR(VLOOKUP(D167,'Прайс'!$A$7:$B$9,2,FALSE),'Прайс'!$B$2))</f>
        <v/>
      </c>
      <c r="K167" s="100">
        <f>IF(AND(C167&gt;0,J167&gt;0,E167&lt;&gt;"Продано"),ROUND(C167*J167,0),"")</f>
        <v/>
      </c>
      <c r="L167" s="100">
        <f>IF(AND(F167="Да",C167&gt;0,E167&lt;&gt;"Продано"),ROUND(C167*'Прайс'!$B$3,0),0)</f>
        <v/>
      </c>
      <c r="M167" s="100">
        <f t="array" ref="M167">IF(I167&lt;&gt;"",INDEX('Каталог'!$F:$F,MATCH(I167,'Каталог'!$A:$A,0)),"")</f>
        <v/>
      </c>
      <c r="N167" s="100">
        <f>IF(AND(E167&lt;&gt;"Продано",OR(K167&gt;0,M167&gt;0)),IFERROR(K167,0)+IFERROR(M167,0)+IFERROR(L167,0),"")</f>
        <v/>
      </c>
    </row>
    <row r="168" ht="15.75" customHeight="1" s="163">
      <c r="A168" s="99" t="n">
        <v>1715</v>
      </c>
      <c r="B168" s="99" t="inlineStr">
        <is>
          <t>Луначарского</t>
        </is>
      </c>
      <c r="C168" s="99" t="n">
        <v>729</v>
      </c>
      <c r="D168" s="99" t="inlineStr">
        <is>
          <t>Панорама</t>
        </is>
      </c>
      <c r="E168" s="99" t="inlineStr">
        <is>
          <t>Свободно</t>
        </is>
      </c>
      <c r="F168" s="99" t="inlineStr">
        <is>
          <t>Да</t>
        </is>
      </c>
      <c r="G168" s="99" t="inlineStr">
        <is>
          <t>1 ф МВЛВ / 2ф МВЛВ</t>
        </is>
      </c>
      <c r="H168" s="104" t="inlineStr">
        <is>
          <t>1 эт.: Костеро, Линия 40, Линия 72, Логос, Логос мини, Арбор, Баня | 2 эт.: Палаццо, Эдем, Вилла Маре</t>
        </is>
      </c>
      <c r="I168" s="99" t="n"/>
      <c r="J168" s="100">
        <f t="array" ref="J168">IF(I168&lt;&gt;"",ROUND(INDEX('Каталог'!$F:$F,MATCH(I168,'Каталог'!$A:$A,0))/'Прайс'!$B$4,0),IFERROR(VLOOKUP(D168,'Прайс'!$A$7:$B$9,2,FALSE),'Прайс'!$B$2))</f>
        <v/>
      </c>
      <c r="K168" s="100">
        <f>IF(AND(C168&gt;0,J168&gt;0,E168&lt;&gt;"Продано"),ROUND(C168*J168,0),"")</f>
        <v/>
      </c>
      <c r="L168" s="100">
        <f>IF(AND(F168="Да",C168&gt;0,E168&lt;&gt;"Продано"),ROUND(C168*'Прайс'!$B$3,0),0)</f>
        <v/>
      </c>
      <c r="M168" s="100">
        <f t="array" ref="M168">IF(I168&lt;&gt;"",INDEX('Каталог'!$F:$F,MATCH(I168,'Каталог'!$A:$A,0)),"")</f>
        <v/>
      </c>
      <c r="N168" s="100">
        <f>IF(AND(E168&lt;&gt;"Продано",OR(K168&gt;0,M168&gt;0)),IFERROR(K168,0)+IFERROR(M168,0)+IFERROR(L168,0),"")</f>
        <v/>
      </c>
    </row>
    <row r="169" ht="15.75" customHeight="1" s="163">
      <c r="A169" s="99" t="n">
        <v>1716</v>
      </c>
      <c r="B169" s="99" t="inlineStr">
        <is>
          <t>Луначарского</t>
        </is>
      </c>
      <c r="C169" s="99" t="n">
        <v>660</v>
      </c>
      <c r="D169" s="99" t="inlineStr">
        <is>
          <t>Вид на море</t>
        </is>
      </c>
      <c r="E169" s="99" t="inlineStr">
        <is>
          <t>Свободно</t>
        </is>
      </c>
      <c r="F169" s="99" t="inlineStr">
        <is>
          <t>Да</t>
        </is>
      </c>
      <c r="G169" s="99" t="inlineStr">
        <is>
          <t>1 ф М / 2 ф М</t>
        </is>
      </c>
      <c r="H169" s="104" t="inlineStr">
        <is>
          <t>1 эт.: Костеро, Линия 40, Линия 72, Логос, Логос мини, Арбор, Баня | 2 эт.: Палаццо, Эдем, Вилла Маре</t>
        </is>
      </c>
      <c r="I169" s="99" t="n"/>
      <c r="J169" s="100">
        <f t="array" ref="J169">IF(I169&lt;&gt;"",ROUND(INDEX('Каталог'!$F:$F,MATCH(I169,'Каталог'!$A:$A,0))/'Прайс'!$B$4,0),IFERROR(VLOOKUP(D169,'Прайс'!$A$7:$B$9,2,FALSE),'Прайс'!$B$2))</f>
        <v/>
      </c>
      <c r="K169" s="100">
        <f>IF(AND(C169&gt;0,J169&gt;0,E169&lt;&gt;"Продано"),ROUND(C169*J169,0),"")</f>
        <v/>
      </c>
      <c r="L169" s="100">
        <f>IF(AND(F169="Да",C169&gt;0,E169&lt;&gt;"Продано"),ROUND(C169*'Прайс'!$B$3,0),0)</f>
        <v/>
      </c>
      <c r="M169" s="100">
        <f t="array" ref="M169">IF(I169&lt;&gt;"",INDEX('Каталог'!$F:$F,MATCH(I169,'Каталог'!$A:$A,0)),"")</f>
        <v/>
      </c>
      <c r="N169" s="100">
        <f>IF(AND(E169&lt;&gt;"Продано",OR(K169&gt;0,M169&gt;0)),IFERROR(K169,0)+IFERROR(M169,0)+IFERROR(L169,0),"")</f>
        <v/>
      </c>
    </row>
    <row r="170" ht="15.75" customHeight="1" s="163">
      <c r="A170" s="99" t="n">
        <v>1717</v>
      </c>
      <c r="B170" s="99" t="inlineStr">
        <is>
          <t>Луначарского</t>
        </is>
      </c>
      <c r="C170" s="99" t="n">
        <v>500</v>
      </c>
      <c r="D170" s="99" t="inlineStr">
        <is>
          <t>Вид на море</t>
        </is>
      </c>
      <c r="E170" s="99" t="inlineStr">
        <is>
          <t>Свободно</t>
        </is>
      </c>
      <c r="F170" s="99" t="inlineStr">
        <is>
          <t>Нет</t>
        </is>
      </c>
      <c r="G170" s="99" t="inlineStr">
        <is>
          <t>1 ф М / 2 ф М</t>
        </is>
      </c>
      <c r="H170" s="104" t="inlineStr">
        <is>
          <t>1 эт.: Костеро, Линия 40, Линия 72, Логос, Логос мини, Арбор, Баня | 2 эт.: Палаццо, Эдем, Вилла Маре</t>
        </is>
      </c>
      <c r="I170" s="99" t="n"/>
      <c r="J170" s="100">
        <f t="array" ref="J170">IF(I170&lt;&gt;"",ROUND(INDEX('Каталог'!$F:$F,MATCH(I170,'Каталог'!$A:$A,0))/'Прайс'!$B$4,0),IFERROR(VLOOKUP(D170,'Прайс'!$A$7:$B$9,2,FALSE),'Прайс'!$B$2))</f>
        <v/>
      </c>
      <c r="K170" s="100">
        <f>IF(AND(C170&gt;0,J170&gt;0,E170&lt;&gt;"Продано"),ROUND(C170*J170,0),"")</f>
        <v/>
      </c>
      <c r="L170" s="100">
        <f>IF(AND(F170="Да",C170&gt;0,E170&lt;&gt;"Продано"),ROUND(C170*'Прайс'!$B$3,0),0)</f>
        <v/>
      </c>
      <c r="M170" s="100">
        <f t="array" ref="M170">IF(I170&lt;&gt;"",INDEX('Каталог'!$F:$F,MATCH(I170,'Каталог'!$A:$A,0)),"")</f>
        <v/>
      </c>
      <c r="N170" s="100">
        <f>IF(AND(E170&lt;&gt;"Продано",OR(K170&gt;0,M170&gt;0)),IFERROR(K170,0)+IFERROR(M170,0)+IFERROR(L170,0),"")</f>
        <v/>
      </c>
    </row>
    <row r="171" ht="15.75" customHeight="1" s="163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</row>
    <row r="172" ht="15.75" customHeight="1" s="163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</row>
    <row r="173" ht="15.75" customHeight="1" s="163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</row>
    <row r="174" ht="15.75" customHeight="1" s="163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</row>
    <row r="175" ht="15.75" customHeight="1" s="163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</row>
    <row r="176" ht="15.75" customHeight="1" s="163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</row>
    <row r="177" ht="15.75" customHeight="1" s="163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</row>
    <row r="178" ht="15.75" customHeight="1" s="163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</row>
    <row r="179" ht="15.75" customHeight="1" s="163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</row>
    <row r="180" ht="15.75" customHeight="1" s="163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</row>
    <row r="181" ht="15.75" customHeight="1" s="163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</row>
    <row r="182" ht="15.75" customHeight="1" s="163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</row>
    <row r="183" ht="15.75" customHeight="1" s="163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</row>
    <row r="184" ht="15.75" customHeight="1" s="163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</row>
    <row r="185" ht="15.75" customHeight="1" s="163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</row>
    <row r="186" ht="15.75" customHeight="1" s="163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</row>
    <row r="187" ht="15.75" customHeight="1" s="163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</row>
    <row r="188" ht="15.75" customHeight="1" s="163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</row>
    <row r="189" ht="15.75" customHeight="1" s="163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</row>
    <row r="190" ht="15.75" customHeight="1" s="163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</row>
    <row r="191" ht="15.75" customHeight="1" s="163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</row>
    <row r="192" ht="15.75" customHeight="1" s="163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</row>
    <row r="193" ht="15.75" customHeight="1" s="163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</row>
    <row r="194" ht="15.75" customHeight="1" s="163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</row>
    <row r="195" ht="15.75" customHeight="1" s="163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</row>
    <row r="196" ht="15.75" customHeight="1" s="163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</row>
    <row r="197" ht="15.75" customHeight="1" s="163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</row>
    <row r="198" ht="15.75" customHeight="1" s="163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</row>
    <row r="199" ht="15.75" customHeight="1" s="163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</row>
    <row r="200" ht="15.75" customHeight="1" s="163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</row>
    <row r="201" ht="15.75" customHeight="1" s="163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</row>
    <row r="202" ht="15.75" customHeight="1" s="163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</row>
    <row r="203" ht="15.75" customHeight="1" s="163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</row>
    <row r="204" ht="15.75" customHeight="1" s="163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</row>
    <row r="205" ht="15.75" customHeight="1" s="163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</row>
    <row r="206" ht="15.75" customHeight="1" s="163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</row>
    <row r="207" ht="15.75" customHeight="1" s="163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</row>
    <row r="208" ht="15.75" customHeight="1" s="163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</row>
    <row r="209" ht="15.75" customHeight="1" s="163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</row>
    <row r="210" ht="15.75" customHeight="1" s="163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</row>
    <row r="211" ht="15.75" customHeight="1" s="163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</row>
    <row r="212" ht="15.75" customHeight="1" s="163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</row>
    <row r="213" ht="15.75" customHeight="1" s="163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</row>
    <row r="214" ht="15.75" customHeight="1" s="163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</row>
    <row r="215" ht="15.75" customHeight="1" s="163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</row>
    <row r="216" ht="15.75" customHeight="1" s="163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</row>
    <row r="217" ht="15.75" customHeight="1" s="163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</row>
    <row r="218" ht="15.75" customHeight="1" s="163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</row>
    <row r="219" ht="15.75" customHeight="1" s="163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</row>
    <row r="220" ht="15.75" customHeight="1" s="163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</row>
    <row r="221" ht="15.75" customHeight="1" s="163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</row>
    <row r="222" ht="15.75" customHeight="1" s="163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</row>
    <row r="223" ht="15.75" customHeight="1" s="163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</row>
    <row r="224" ht="15.75" customHeight="1" s="163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</row>
    <row r="225" ht="15.75" customHeight="1" s="163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</row>
    <row r="226" ht="15.75" customHeight="1" s="163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</row>
    <row r="227" ht="15.75" customHeight="1" s="163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</row>
    <row r="228" ht="15.75" customHeight="1" s="163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</row>
    <row r="229" ht="15.75" customHeight="1" s="163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</row>
    <row r="230" ht="15.75" customHeight="1" s="163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</row>
    <row r="231" ht="15.75" customHeight="1" s="163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</row>
    <row r="232" ht="15.75" customHeight="1" s="163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</row>
    <row r="233" ht="15.75" customHeight="1" s="163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</row>
    <row r="234" ht="15.75" customHeight="1" s="163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</row>
    <row r="235" ht="15.75" customHeight="1" s="163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</row>
    <row r="236" ht="15.75" customHeight="1" s="163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</row>
    <row r="237" ht="15.75" customHeight="1" s="163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</row>
    <row r="238" ht="15.75" customHeight="1" s="163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</row>
    <row r="239" ht="15.75" customHeight="1" s="163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</row>
    <row r="240" ht="15.75" customHeight="1" s="163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</row>
    <row r="241" ht="15.75" customHeight="1" s="163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</row>
    <row r="242" ht="15.75" customHeight="1" s="163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</row>
    <row r="243" ht="15.75" customHeight="1" s="163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</row>
    <row r="244" ht="15.75" customHeight="1" s="163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</row>
    <row r="245" ht="15.75" customHeight="1" s="163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</row>
    <row r="246" ht="15.75" customHeight="1" s="163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</row>
    <row r="247" ht="15.75" customHeight="1" s="163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</row>
    <row r="248" ht="15.75" customHeight="1" s="163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</row>
    <row r="249" ht="15.75" customHeight="1" s="163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</row>
    <row r="250" ht="15.75" customHeight="1" s="163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</row>
    <row r="251" ht="15.75" customHeight="1" s="163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</row>
    <row r="252" ht="15.75" customHeight="1" s="163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</row>
    <row r="253" ht="15.75" customHeight="1" s="163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</row>
    <row r="254" ht="15.75" customHeight="1" s="163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</row>
    <row r="255" ht="15.75" customHeight="1" s="163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</row>
    <row r="256" ht="15.75" customHeight="1" s="163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</row>
    <row r="257" ht="15.75" customHeight="1" s="163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</row>
    <row r="258" ht="15.75" customHeight="1" s="163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</row>
    <row r="259" ht="15.75" customHeight="1" s="163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</row>
    <row r="260" ht="15.75" customHeight="1" s="163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</row>
    <row r="261" ht="15.75" customHeight="1" s="163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</row>
    <row r="262" ht="15.75" customHeight="1" s="163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</row>
    <row r="263" ht="15.75" customHeight="1" s="163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</row>
    <row r="264" ht="15.75" customHeight="1" s="163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</row>
    <row r="265" ht="15.75" customHeight="1" s="163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</row>
    <row r="266" ht="15.75" customHeight="1" s="163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</row>
    <row r="267" ht="15.75" customHeight="1" s="163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</row>
    <row r="268" ht="15.75" customHeight="1" s="163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</row>
    <row r="269" ht="15.75" customHeight="1" s="163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</row>
    <row r="270" ht="15.75" customHeight="1" s="163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</row>
    <row r="271" ht="15.75" customHeight="1" s="163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</row>
    <row r="272" ht="15.75" customHeight="1" s="163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</row>
    <row r="273" ht="15.75" customHeight="1" s="163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</row>
    <row r="274" ht="15.75" customHeight="1" s="163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</row>
    <row r="275" ht="15.75" customHeight="1" s="163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</row>
    <row r="276" ht="15.75" customHeight="1" s="163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</row>
    <row r="277" ht="15.75" customHeight="1" s="163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</row>
    <row r="278" ht="15.75" customHeight="1" s="163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</row>
    <row r="279" ht="15.75" customHeight="1" s="163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</row>
    <row r="280" ht="15.75" customHeight="1" s="163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</row>
    <row r="281" ht="15.75" customHeight="1" s="163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</row>
    <row r="282" ht="15.75" customHeight="1" s="163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</row>
  </sheetData>
  <autoFilter ref="$A$1:$N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8" customWidth="1" style="163" min="1" max="1"/>
    <col width="14" customWidth="1" style="163" min="2" max="2"/>
    <col width="10" customWidth="1" style="163" min="3" max="3"/>
    <col width="12" customWidth="1" style="163" min="4" max="4"/>
    <col width="28" customWidth="1" style="163" min="5" max="5"/>
    <col width="14" customWidth="1" style="163" min="6" max="6"/>
    <col width="12" customWidth="1" style="163" min="7" max="7"/>
    <col width="14" customWidth="1" style="163" min="8" max="8"/>
    <col width="8.630000000000001" customWidth="1" style="163" min="9" max="26"/>
  </cols>
  <sheetData>
    <row r="1">
      <c r="A1" s="98" t="inlineStr">
        <is>
          <t>№</t>
        </is>
      </c>
      <c r="B1" s="98" t="inlineStr">
        <is>
          <t>Тип</t>
        </is>
      </c>
      <c r="C1" s="98" t="inlineStr">
        <is>
          <t>Дом м²</t>
        </is>
      </c>
      <c r="D1" s="98" t="inlineStr">
        <is>
          <t>Участок сот</t>
        </is>
      </c>
      <c r="E1" s="98" t="inlineStr">
        <is>
          <t>Вид</t>
        </is>
      </c>
      <c r="F1" s="98" t="inlineStr">
        <is>
          <t>Цена</t>
        </is>
      </c>
      <c r="G1" s="98" t="inlineStr">
        <is>
          <t>₽/м²</t>
        </is>
      </c>
      <c r="H1" s="98" t="inlineStr">
        <is>
          <t>Статус</t>
        </is>
      </c>
    </row>
    <row r="2">
      <c r="A2" s="99" t="inlineStr">
        <is>
          <t>№ 1</t>
        </is>
      </c>
      <c r="B2" s="99" t="inlineStr">
        <is>
          <t>БАРНХАУС</t>
        </is>
      </c>
      <c r="C2" s="99" t="n">
        <v>62</v>
      </c>
      <c r="D2" s="99" t="n"/>
      <c r="E2" s="99" t="n"/>
      <c r="F2" s="99" t="n"/>
      <c r="G2" s="100">
        <f>IF(AND(F2&gt;0,C2&gt;0),ROUND(F2/C2,0),"")</f>
        <v/>
      </c>
      <c r="H2" s="99" t="inlineStr">
        <is>
          <t>Продано</t>
        </is>
      </c>
    </row>
    <row r="3">
      <c r="A3" s="99" t="inlineStr">
        <is>
          <t>№ 2</t>
        </is>
      </c>
      <c r="B3" s="99" t="inlineStr">
        <is>
          <t>А-ФРЕЙМ</t>
        </is>
      </c>
      <c r="C3" s="99" t="n">
        <v>40</v>
      </c>
      <c r="D3" s="99" t="n"/>
      <c r="E3" s="99" t="n"/>
      <c r="F3" s="99" t="n"/>
      <c r="G3" s="100">
        <f>IF(AND(F3&gt;0,C3&gt;0),ROUND(F3/C3,0),"")</f>
        <v/>
      </c>
      <c r="H3" s="99" t="inlineStr">
        <is>
          <t>Продано</t>
        </is>
      </c>
    </row>
    <row r="4">
      <c r="A4" s="99" t="inlineStr">
        <is>
          <t>№ 3</t>
        </is>
      </c>
      <c r="B4" s="99" t="inlineStr">
        <is>
          <t>А-ФРЕЙМ</t>
        </is>
      </c>
      <c r="C4" s="99" t="n">
        <v>40</v>
      </c>
      <c r="D4" s="99" t="n"/>
      <c r="E4" s="99" t="n"/>
      <c r="F4" s="99" t="n"/>
      <c r="G4" s="100">
        <f>IF(AND(F4&gt;0,C4&gt;0),ROUND(F4/C4,0),"")</f>
        <v/>
      </c>
      <c r="H4" s="99" t="inlineStr">
        <is>
          <t>Продано</t>
        </is>
      </c>
    </row>
    <row r="5">
      <c r="A5" s="99" t="inlineStr">
        <is>
          <t>№ 4</t>
        </is>
      </c>
      <c r="B5" s="99" t="inlineStr">
        <is>
          <t>А-ФРЕЙМ</t>
        </is>
      </c>
      <c r="C5" s="99" t="n">
        <v>40</v>
      </c>
      <c r="D5" s="99" t="n"/>
      <c r="E5" s="99" t="n"/>
      <c r="F5" s="99" t="n">
        <v>14500000</v>
      </c>
      <c r="G5" s="100">
        <f>IF(AND(F5&gt;0,C5&gt;0),ROUND(F5/C5,0),"")</f>
        <v/>
      </c>
      <c r="H5" s="99" t="inlineStr">
        <is>
          <t>Свободно (акция)</t>
        </is>
      </c>
    </row>
    <row r="6">
      <c r="A6" s="99" t="inlineStr">
        <is>
          <t>№ 5</t>
        </is>
      </c>
      <c r="B6" s="99" t="inlineStr">
        <is>
          <t>А-ФРЕЙМ</t>
        </is>
      </c>
      <c r="C6" s="99" t="n">
        <v>40</v>
      </c>
      <c r="D6" s="99" t="n"/>
      <c r="E6" s="99" t="n"/>
      <c r="F6" s="99" t="n"/>
      <c r="G6" s="100">
        <f>IF(AND(F6&gt;0,C6&gt;0),ROUND(F6/C6,0),"")</f>
        <v/>
      </c>
      <c r="H6" s="99" t="inlineStr">
        <is>
          <t>Продано</t>
        </is>
      </c>
    </row>
    <row r="7">
      <c r="A7" s="99" t="inlineStr">
        <is>
          <t>№ 6</t>
        </is>
      </c>
      <c r="B7" s="99" t="inlineStr">
        <is>
          <t>БАРНХАУС</t>
        </is>
      </c>
      <c r="C7" s="99" t="n">
        <v>62</v>
      </c>
      <c r="D7" s="99" t="n"/>
      <c r="E7" s="99" t="n"/>
      <c r="F7" s="99" t="n"/>
      <c r="G7" s="100">
        <f>IF(AND(F7&gt;0,C7&gt;0),ROUND(F7/C7,0),"")</f>
        <v/>
      </c>
      <c r="H7" s="99" t="inlineStr">
        <is>
          <t>Продано</t>
        </is>
      </c>
    </row>
    <row r="8">
      <c r="A8" s="99" t="inlineStr">
        <is>
          <t>№ 7</t>
        </is>
      </c>
      <c r="B8" s="99" t="inlineStr">
        <is>
          <t>А-ФРЕЙМ</t>
        </is>
      </c>
      <c r="C8" s="99" t="n">
        <v>40</v>
      </c>
      <c r="D8" s="99" t="n"/>
      <c r="E8" s="99" t="n"/>
      <c r="F8" s="99" t="n">
        <v>12000000</v>
      </c>
      <c r="G8" s="100">
        <f>IF(AND(F8&gt;0,C8&gt;0),ROUND(F8/C8,0),"")</f>
        <v/>
      </c>
      <c r="H8" s="99" t="inlineStr">
        <is>
          <t>Свободно</t>
        </is>
      </c>
    </row>
    <row r="9">
      <c r="A9" s="99" t="inlineStr">
        <is>
          <t>№ 8</t>
        </is>
      </c>
      <c r="B9" s="99" t="inlineStr">
        <is>
          <t>А-ФРЕЙМ</t>
        </is>
      </c>
      <c r="C9" s="99" t="n">
        <v>40</v>
      </c>
      <c r="D9" s="99" t="n"/>
      <c r="E9" s="99" t="n"/>
      <c r="F9" s="99" t="n">
        <v>12000000</v>
      </c>
      <c r="G9" s="100">
        <f>IF(AND(F9&gt;0,C9&gt;0),ROUND(F9/C9,0),"")</f>
        <v/>
      </c>
      <c r="H9" s="99" t="inlineStr">
        <is>
          <t>Свободно</t>
        </is>
      </c>
    </row>
    <row r="10">
      <c r="A10" s="99" t="inlineStr">
        <is>
          <t>№ 9</t>
        </is>
      </c>
      <c r="B10" s="99" t="inlineStr">
        <is>
          <t>А-ФРЕЙМ</t>
        </is>
      </c>
      <c r="C10" s="99" t="n">
        <v>40</v>
      </c>
      <c r="D10" s="99" t="n"/>
      <c r="E10" s="99" t="n"/>
      <c r="F10" s="99" t="n">
        <v>12000000</v>
      </c>
      <c r="G10" s="100">
        <f>IF(AND(F10&gt;0,C10&gt;0),ROUND(F10/C10,0),"")</f>
        <v/>
      </c>
      <c r="H10" s="99" t="inlineStr">
        <is>
          <t>Свободно</t>
        </is>
      </c>
    </row>
    <row r="11">
      <c r="A11" s="99" t="inlineStr">
        <is>
          <t>№ 10</t>
        </is>
      </c>
      <c r="B11" s="99" t="inlineStr">
        <is>
          <t>А-ФРЕЙМ</t>
        </is>
      </c>
      <c r="C11" s="99" t="n">
        <v>40</v>
      </c>
      <c r="D11" s="99" t="n"/>
      <c r="E11" s="99" t="n"/>
      <c r="F11" s="99" t="n">
        <v>12000000</v>
      </c>
      <c r="G11" s="100">
        <f>IF(AND(F11&gt;0,C11&gt;0),ROUND(F11/C11,0),"")</f>
        <v/>
      </c>
      <c r="H11" s="99" t="inlineStr">
        <is>
          <t>Свободно</t>
        </is>
      </c>
    </row>
    <row r="12">
      <c r="A12" s="99" t="inlineStr">
        <is>
          <t>№ 11</t>
        </is>
      </c>
      <c r="B12" s="99" t="inlineStr">
        <is>
          <t>БАРНХАУС</t>
        </is>
      </c>
      <c r="C12" s="99" t="n">
        <v>62</v>
      </c>
      <c r="D12" s="99" t="n"/>
      <c r="E12" s="99" t="n"/>
      <c r="F12" s="99" t="n">
        <v>16000000</v>
      </c>
      <c r="G12" s="100">
        <f>IF(AND(F12&gt;0,C12&gt;0),ROUND(F12/C12,0),"")</f>
        <v/>
      </c>
      <c r="H12" s="99" t="inlineStr">
        <is>
          <t>Свободно</t>
        </is>
      </c>
    </row>
    <row r="13">
      <c r="A13" s="99" t="inlineStr">
        <is>
          <t>№ 12</t>
        </is>
      </c>
      <c r="B13" s="99" t="inlineStr">
        <is>
          <t>А-ФРЕЙМ</t>
        </is>
      </c>
      <c r="C13" s="99" t="n">
        <v>62</v>
      </c>
      <c r="D13" s="99" t="n"/>
      <c r="E13" s="99" t="n"/>
      <c r="F13" s="99" t="n"/>
      <c r="G13" s="100">
        <f>IF(AND(F13&gt;0,C13&gt;0),ROUND(F13/C13,0),"")</f>
        <v/>
      </c>
      <c r="H13" s="99" t="inlineStr">
        <is>
          <t>Продано</t>
        </is>
      </c>
    </row>
    <row r="14">
      <c r="A14" s="99" t="inlineStr">
        <is>
          <t>№ 13</t>
        </is>
      </c>
      <c r="B14" s="99" t="inlineStr">
        <is>
          <t>А-ФРЕЙМ</t>
        </is>
      </c>
      <c r="C14" s="99" t="n">
        <v>40</v>
      </c>
      <c r="D14" s="99" t="n"/>
      <c r="E14" s="99" t="n"/>
      <c r="F14" s="99" t="n">
        <v>12000000</v>
      </c>
      <c r="G14" s="100">
        <f>IF(AND(F14&gt;0,C14&gt;0),ROUND(F14/C14,0),"")</f>
        <v/>
      </c>
      <c r="H14" s="99" t="inlineStr">
        <is>
          <t>Свободно</t>
        </is>
      </c>
    </row>
    <row r="15">
      <c r="A15" s="99" t="inlineStr">
        <is>
          <t>№ 14</t>
        </is>
      </c>
      <c r="B15" s="99" t="inlineStr">
        <is>
          <t>А-ФРЕЙМ</t>
        </is>
      </c>
      <c r="C15" s="99" t="n">
        <v>40</v>
      </c>
      <c r="D15" s="99" t="n"/>
      <c r="E15" s="99" t="n"/>
      <c r="F15" s="99" t="n">
        <v>12000000</v>
      </c>
      <c r="G15" s="100">
        <f>IF(AND(F15&gt;0,C15&gt;0),ROUND(F15/C15,0),"")</f>
        <v/>
      </c>
      <c r="H15" s="99" t="inlineStr">
        <is>
          <t>Свободно</t>
        </is>
      </c>
    </row>
    <row r="16">
      <c r="A16" s="99" t="inlineStr">
        <is>
          <t>№ 15</t>
        </is>
      </c>
      <c r="B16" s="99" t="inlineStr">
        <is>
          <t>А-ФРЕЙМ</t>
        </is>
      </c>
      <c r="C16" s="99" t="n">
        <v>40</v>
      </c>
      <c r="D16" s="99" t="n"/>
      <c r="E16" s="99" t="n"/>
      <c r="F16" s="99" t="n">
        <v>11500000</v>
      </c>
      <c r="G16" s="100">
        <f>IF(AND(F16&gt;0,C16&gt;0),ROUND(F16/C16,0),"")</f>
        <v/>
      </c>
      <c r="H16" s="99" t="inlineStr">
        <is>
          <t>Свободно (акция)</t>
        </is>
      </c>
    </row>
    <row r="17">
      <c r="A17" s="99" t="inlineStr">
        <is>
          <t>№ 16</t>
        </is>
      </c>
      <c r="B17" s="99" t="inlineStr">
        <is>
          <t>БАРНХАУС</t>
        </is>
      </c>
      <c r="C17" s="99" t="n">
        <v>40</v>
      </c>
      <c r="D17" s="99" t="n"/>
      <c r="E17" s="99" t="n"/>
      <c r="F17" s="99" t="n"/>
      <c r="G17" s="100">
        <f>IF(AND(F17&gt;0,C17&gt;0),ROUND(F17/C17,0),"")</f>
        <v/>
      </c>
      <c r="H17" s="99" t="inlineStr">
        <is>
          <t>Продано</t>
        </is>
      </c>
    </row>
    <row r="18">
      <c r="A18" s="99" t="inlineStr">
        <is>
          <t>№ 17</t>
        </is>
      </c>
      <c r="B18" s="99" t="inlineStr">
        <is>
          <t>А-ФРЕЙМ</t>
        </is>
      </c>
      <c r="C18" s="99" t="n">
        <v>40</v>
      </c>
      <c r="D18" s="99" t="n"/>
      <c r="E18" s="99" t="n"/>
      <c r="F18" s="99" t="n">
        <v>12000000</v>
      </c>
      <c r="G18" s="100">
        <f>IF(AND(F18&gt;0,C18&gt;0),ROUND(F18/C18,0),"")</f>
        <v/>
      </c>
      <c r="H18" s="99" t="inlineStr">
        <is>
          <t>Свободно</t>
        </is>
      </c>
    </row>
    <row r="19">
      <c r="A19" s="99" t="inlineStr">
        <is>
          <t>№ 18</t>
        </is>
      </c>
      <c r="B19" s="99" t="inlineStr">
        <is>
          <t>А-ФРЕЙМ</t>
        </is>
      </c>
      <c r="C19" s="99" t="n">
        <v>62</v>
      </c>
      <c r="D19" s="99" t="n"/>
      <c r="E19" s="99" t="n"/>
      <c r="F19" s="99" t="n">
        <v>12000000</v>
      </c>
      <c r="G19" s="100">
        <f>IF(AND(F19&gt;0,C19&gt;0),ROUND(F19/C19,0),"")</f>
        <v/>
      </c>
      <c r="H19" s="99" t="inlineStr">
        <is>
          <t>Свободно</t>
        </is>
      </c>
    </row>
    <row r="20">
      <c r="A20" s="99" t="inlineStr">
        <is>
          <t>№ 19</t>
        </is>
      </c>
      <c r="B20" s="99" t="inlineStr">
        <is>
          <t>А-ФРЕЙМ</t>
        </is>
      </c>
      <c r="C20" s="99" t="n">
        <v>40</v>
      </c>
      <c r="D20" s="99" t="n"/>
      <c r="E20" s="99" t="n"/>
      <c r="F20" s="99" t="n"/>
      <c r="G20" s="100">
        <f>IF(AND(F20&gt;0,C20&gt;0),ROUND(F20/C20,0),"")</f>
        <v/>
      </c>
      <c r="H20" s="99" t="inlineStr">
        <is>
          <t>Продано</t>
        </is>
      </c>
    </row>
    <row r="21" ht="15.75" customHeight="1" s="163">
      <c r="A21" s="99" t="inlineStr">
        <is>
          <t>№ 20</t>
        </is>
      </c>
      <c r="B21" s="99" t="inlineStr">
        <is>
          <t>А-ФРЕЙМ</t>
        </is>
      </c>
      <c r="C21" s="99" t="n">
        <v>62</v>
      </c>
      <c r="D21" s="99" t="n"/>
      <c r="E21" s="99" t="n"/>
      <c r="F21" s="99" t="n"/>
      <c r="G21" s="100">
        <f>IF(AND(F21&gt;0,C21&gt;0),ROUND(F21/C21,0),"")</f>
        <v/>
      </c>
      <c r="H21" s="99" t="inlineStr">
        <is>
          <t>Продано</t>
        </is>
      </c>
    </row>
    <row r="22" ht="15.75" customHeight="1" s="163">
      <c r="A22" s="99" t="inlineStr">
        <is>
          <t>№ 21</t>
        </is>
      </c>
      <c r="B22" s="99" t="inlineStr">
        <is>
          <t>БАРНХАУС</t>
        </is>
      </c>
      <c r="C22" s="99" t="n">
        <v>62</v>
      </c>
      <c r="D22" s="99" t="n"/>
      <c r="E22" s="99" t="n"/>
      <c r="F22" s="99" t="n"/>
      <c r="G22" s="100">
        <f>IF(AND(F22&gt;0,C22&gt;0),ROUND(F22/C22,0),"")</f>
        <v/>
      </c>
      <c r="H22" s="99" t="inlineStr">
        <is>
          <t>Продано</t>
        </is>
      </c>
    </row>
    <row r="23" ht="15.75" customHeight="1" s="163">
      <c r="A23" s="99" t="inlineStr">
        <is>
          <t>№ 22</t>
        </is>
      </c>
      <c r="B23" s="99" t="inlineStr">
        <is>
          <t>А-ФРЕЙМ</t>
        </is>
      </c>
      <c r="C23" s="99" t="n">
        <v>40</v>
      </c>
      <c r="D23" s="99" t="n"/>
      <c r="E23" s="99" t="n"/>
      <c r="F23" s="99" t="n">
        <v>12000000</v>
      </c>
      <c r="G23" s="100">
        <f>IF(AND(F23&gt;0,C23&gt;0),ROUND(F23/C23,0),"")</f>
        <v/>
      </c>
      <c r="H23" s="99" t="inlineStr">
        <is>
          <t>Свободно</t>
        </is>
      </c>
    </row>
    <row r="24" ht="15.75" customHeight="1" s="163">
      <c r="A24" s="99" t="inlineStr">
        <is>
          <t>№ 23</t>
        </is>
      </c>
      <c r="B24" s="99" t="inlineStr">
        <is>
          <t>А-ФРЕЙМ</t>
        </is>
      </c>
      <c r="C24" s="99" t="n">
        <v>40</v>
      </c>
      <c r="D24" s="99" t="n"/>
      <c r="E24" s="99" t="n"/>
      <c r="F24" s="99" t="n">
        <v>12000000</v>
      </c>
      <c r="G24" s="100">
        <f>IF(AND(F24&gt;0,C24&gt;0),ROUND(F24/C24,0),"")</f>
        <v/>
      </c>
      <c r="H24" s="99" t="inlineStr">
        <is>
          <t>Свободно</t>
        </is>
      </c>
    </row>
    <row r="25" ht="15.75" customHeight="1" s="163">
      <c r="A25" s="99" t="inlineStr">
        <is>
          <t>№ 24</t>
        </is>
      </c>
      <c r="B25" s="99" t="inlineStr">
        <is>
          <t>А-ФРЕЙМ</t>
        </is>
      </c>
      <c r="C25" s="99" t="n">
        <v>40</v>
      </c>
      <c r="D25" s="99" t="n"/>
      <c r="E25" s="99" t="n"/>
      <c r="F25" s="99" t="n">
        <v>12000000</v>
      </c>
      <c r="G25" s="100">
        <f>IF(AND(F25&gt;0,C25&gt;0),ROUND(F25/C25,0),"")</f>
        <v/>
      </c>
      <c r="H25" s="99" t="inlineStr">
        <is>
          <t>Свободно</t>
        </is>
      </c>
    </row>
    <row r="26" ht="15.75" customHeight="1" s="163">
      <c r="A26" s="99" t="inlineStr">
        <is>
          <t>№ 25</t>
        </is>
      </c>
      <c r="B26" s="99" t="inlineStr">
        <is>
          <t>А-ФРЕЙМ</t>
        </is>
      </c>
      <c r="C26" s="99" t="n">
        <v>40</v>
      </c>
      <c r="D26" s="99" t="n"/>
      <c r="E26" s="99" t="n"/>
      <c r="F26" s="99" t="n">
        <v>12000000</v>
      </c>
      <c r="G26" s="100">
        <f>IF(AND(F26&gt;0,C26&gt;0),ROUND(F26/C26,0),"")</f>
        <v/>
      </c>
      <c r="H26" s="99" t="inlineStr">
        <is>
          <t>Свободно</t>
        </is>
      </c>
    </row>
    <row r="27" ht="15.75" customHeight="1" s="163">
      <c r="A27" s="99" t="inlineStr">
        <is>
          <t>№ 26</t>
        </is>
      </c>
      <c r="B27" s="99" t="inlineStr">
        <is>
          <t>А-ФРЕЙМ</t>
        </is>
      </c>
      <c r="C27" s="99" t="n">
        <v>40</v>
      </c>
      <c r="D27" s="99" t="n"/>
      <c r="E27" s="99" t="n"/>
      <c r="F27" s="99" t="n">
        <v>12000000</v>
      </c>
      <c r="G27" s="100">
        <f>IF(AND(F27&gt;0,C27&gt;0),ROUND(F27/C27,0),"")</f>
        <v/>
      </c>
      <c r="H27" s="99" t="inlineStr">
        <is>
          <t>Свободно</t>
        </is>
      </c>
    </row>
    <row r="28" ht="15.75" customHeight="1" s="163">
      <c r="A28" s="99" t="inlineStr">
        <is>
          <t>№ 27</t>
        </is>
      </c>
      <c r="B28" s="99" t="inlineStr">
        <is>
          <t>БАРНХАУС</t>
        </is>
      </c>
      <c r="C28" s="99" t="n">
        <v>62</v>
      </c>
      <c r="D28" s="99" t="n"/>
      <c r="E28" s="99" t="n"/>
      <c r="F28" s="99" t="n"/>
      <c r="G28" s="100">
        <f>IF(AND(F28&gt;0,C28&gt;0),ROUND(F28/C28,0),"")</f>
        <v/>
      </c>
      <c r="H28" s="99" t="inlineStr">
        <is>
          <t>Продано</t>
        </is>
      </c>
    </row>
    <row r="29" ht="15.75" customHeight="1" s="163">
      <c r="A29" s="99" t="inlineStr">
        <is>
          <t>№ 28</t>
        </is>
      </c>
      <c r="B29" s="99" t="inlineStr">
        <is>
          <t>А-ФРЕЙМ</t>
        </is>
      </c>
      <c r="C29" s="99" t="n">
        <v>40</v>
      </c>
      <c r="D29" s="99" t="n"/>
      <c r="E29" s="99" t="n"/>
      <c r="F29" s="99" t="n">
        <v>12000000</v>
      </c>
      <c r="G29" s="100">
        <f>IF(AND(F29&gt;0,C29&gt;0),ROUND(F29/C29,0),"")</f>
        <v/>
      </c>
      <c r="H29" s="99" t="inlineStr">
        <is>
          <t>Свободно</t>
        </is>
      </c>
    </row>
    <row r="30" ht="15.75" customHeight="1" s="163">
      <c r="A30" s="99" t="inlineStr">
        <is>
          <t>№ 29</t>
        </is>
      </c>
      <c r="B30" s="99" t="inlineStr">
        <is>
          <t>А-ФРЕЙМ</t>
        </is>
      </c>
      <c r="C30" s="99" t="n">
        <v>40</v>
      </c>
      <c r="D30" s="99" t="n"/>
      <c r="E30" s="99" t="n"/>
      <c r="F30" s="99" t="n"/>
      <c r="G30" s="100">
        <f>IF(AND(F30&gt;0,C30&gt;0),ROUND(F30/C30,0),"")</f>
        <v/>
      </c>
      <c r="H30" s="99" t="inlineStr">
        <is>
          <t>Продано</t>
        </is>
      </c>
    </row>
    <row r="31" ht="15.75" customHeight="1" s="163">
      <c r="A31" s="99" t="inlineStr">
        <is>
          <t>№ 30</t>
        </is>
      </c>
      <c r="B31" s="99" t="inlineStr">
        <is>
          <t>А-ФРЕЙМ</t>
        </is>
      </c>
      <c r="C31" s="99" t="n">
        <v>40</v>
      </c>
      <c r="D31" s="99" t="n"/>
      <c r="E31" s="99" t="n"/>
      <c r="F31" s="99" t="n">
        <v>11500000</v>
      </c>
      <c r="G31" s="100">
        <f>IF(AND(F31&gt;0,C31&gt;0),ROUND(F31/C31,0),"")</f>
        <v/>
      </c>
      <c r="H31" s="99" t="inlineStr">
        <is>
          <t>Свободно (акция)</t>
        </is>
      </c>
    </row>
    <row r="32" ht="15.75" customHeight="1" s="163">
      <c r="A32" s="99" t="inlineStr">
        <is>
          <t>№ 31</t>
        </is>
      </c>
      <c r="B32" s="99" t="inlineStr">
        <is>
          <t>А-ФРЕЙМ</t>
        </is>
      </c>
      <c r="C32" s="99" t="n">
        <v>40</v>
      </c>
      <c r="D32" s="99" t="n"/>
      <c r="E32" s="99" t="n"/>
      <c r="F32" s="99" t="n">
        <v>12000000</v>
      </c>
      <c r="G32" s="100">
        <f>IF(AND(F32&gt;0,C32&gt;0),ROUND(F32/C32,0),"")</f>
        <v/>
      </c>
      <c r="H32" s="99" t="inlineStr">
        <is>
          <t>Свободно</t>
        </is>
      </c>
    </row>
    <row r="33" ht="15.75" customHeight="1" s="163">
      <c r="A33" s="99" t="inlineStr">
        <is>
          <t>№ 32</t>
        </is>
      </c>
      <c r="B33" s="99" t="inlineStr">
        <is>
          <t>А-ФРЕЙМ</t>
        </is>
      </c>
      <c r="C33" s="99" t="n">
        <v>40</v>
      </c>
      <c r="D33" s="99" t="n"/>
      <c r="E33" s="99" t="n"/>
      <c r="F33" s="99" t="n">
        <v>12000000</v>
      </c>
      <c r="G33" s="100">
        <f>IF(AND(F33&gt;0,C33&gt;0),ROUND(F33/C33,0),"")</f>
        <v/>
      </c>
      <c r="H33" s="99" t="inlineStr">
        <is>
          <t>Свободно</t>
        </is>
      </c>
    </row>
    <row r="34" ht="15.75" customHeight="1" s="163">
      <c r="A34" s="99" t="inlineStr">
        <is>
          <t>№ 33</t>
        </is>
      </c>
      <c r="B34" s="99" t="inlineStr">
        <is>
          <t>А-ФРЕЙМ</t>
        </is>
      </c>
      <c r="C34" s="99" t="n">
        <v>40</v>
      </c>
      <c r="D34" s="99" t="n"/>
      <c r="E34" s="99" t="n"/>
      <c r="F34" s="99" t="n"/>
      <c r="G34" s="100">
        <f>IF(AND(F34&gt;0,C34&gt;0),ROUND(F34/C34,0),"")</f>
        <v/>
      </c>
      <c r="H34" s="99" t="inlineStr">
        <is>
          <t>Продано</t>
        </is>
      </c>
    </row>
    <row r="35" ht="15.75" customHeight="1" s="163">
      <c r="A35" s="99" t="inlineStr">
        <is>
          <t>№ 34</t>
        </is>
      </c>
      <c r="B35" s="99" t="inlineStr">
        <is>
          <t>А-ФРЕЙМ</t>
        </is>
      </c>
      <c r="C35" s="99" t="n">
        <v>40</v>
      </c>
      <c r="D35" s="99" t="n"/>
      <c r="E35" s="99" t="n"/>
      <c r="F35" s="99" t="n">
        <v>12000000</v>
      </c>
      <c r="G35" s="100">
        <f>IF(AND(F35&gt;0,C35&gt;0),ROUND(F35/C35,0),"")</f>
        <v/>
      </c>
      <c r="H35" s="99" t="inlineStr">
        <is>
          <t>Свободно</t>
        </is>
      </c>
    </row>
    <row r="36" ht="15.75" customHeight="1" s="163">
      <c r="A36" s="99" t="inlineStr">
        <is>
          <t>№ 35</t>
        </is>
      </c>
      <c r="B36" s="99" t="inlineStr">
        <is>
          <t>А-ФРЕЙМ</t>
        </is>
      </c>
      <c r="C36" s="99" t="n">
        <v>40</v>
      </c>
      <c r="D36" s="99" t="n"/>
      <c r="E36" s="99" t="n"/>
      <c r="F36" s="99" t="n">
        <v>12000000</v>
      </c>
      <c r="G36" s="100">
        <f>IF(AND(F36&gt;0,C36&gt;0),ROUND(F36/C36,0),"")</f>
        <v/>
      </c>
      <c r="H36" s="99" t="inlineStr">
        <is>
          <t>Свободно</t>
        </is>
      </c>
    </row>
    <row r="37" ht="15.75" customHeight="1" s="163">
      <c r="A37" s="99" t="inlineStr">
        <is>
          <t>№ 36</t>
        </is>
      </c>
      <c r="B37" s="99" t="inlineStr">
        <is>
          <t>А-ФРЕЙМ</t>
        </is>
      </c>
      <c r="C37" s="99" t="n">
        <v>40</v>
      </c>
      <c r="D37" s="99" t="n"/>
      <c r="E37" s="99" t="n"/>
      <c r="F37" s="99" t="n">
        <v>12000000</v>
      </c>
      <c r="G37" s="100">
        <f>IF(AND(F37&gt;0,C37&gt;0),ROUND(F37/C37,0),"")</f>
        <v/>
      </c>
      <c r="H37" s="99" t="inlineStr">
        <is>
          <t>Свободно</t>
        </is>
      </c>
    </row>
    <row r="38" ht="15.75" customHeight="1" s="163">
      <c r="A38" s="99" t="inlineStr">
        <is>
          <t>№ 37</t>
        </is>
      </c>
      <c r="B38" s="99" t="inlineStr">
        <is>
          <t>БАРНХАУС</t>
        </is>
      </c>
      <c r="C38" s="99" t="n">
        <v>62</v>
      </c>
      <c r="D38" s="99" t="n"/>
      <c r="E38" s="99" t="n"/>
      <c r="F38" s="99" t="n"/>
      <c r="G38" s="100">
        <f>IF(AND(F38&gt;0,C38&gt;0),ROUND(F38/C38,0),"")</f>
        <v/>
      </c>
      <c r="H38" s="99" t="inlineStr">
        <is>
          <t>Резерв</t>
        </is>
      </c>
    </row>
    <row r="39" ht="15.75" customHeight="1" s="163">
      <c r="A39" s="97" t="n"/>
      <c r="B39" s="97" t="n"/>
      <c r="C39" s="97" t="n"/>
      <c r="D39" s="97" t="n"/>
      <c r="E39" s="97" t="n"/>
      <c r="F39" s="97" t="n"/>
      <c r="G39" s="97" t="n"/>
      <c r="H39" s="97" t="n"/>
    </row>
    <row r="40" ht="15.75" customHeight="1" s="163">
      <c r="A40" s="97" t="n"/>
      <c r="B40" s="97" t="n"/>
      <c r="C40" s="97" t="n"/>
      <c r="D40" s="97" t="n"/>
      <c r="E40" s="97" t="n"/>
      <c r="F40" s="97" t="n"/>
      <c r="G40" s="97" t="n"/>
      <c r="H40" s="97" t="n"/>
    </row>
    <row r="41" ht="15.75" customHeight="1" s="163">
      <c r="A41" s="97" t="n"/>
      <c r="B41" s="97" t="n"/>
      <c r="C41" s="97" t="n"/>
      <c r="D41" s="97" t="n"/>
      <c r="E41" s="97" t="n"/>
      <c r="F41" s="97" t="n"/>
      <c r="G41" s="97" t="n"/>
      <c r="H41" s="97" t="n"/>
    </row>
    <row r="42" ht="15.75" customHeight="1" s="163">
      <c r="A42" s="97" t="n"/>
      <c r="B42" s="97" t="n"/>
      <c r="C42" s="97" t="n"/>
      <c r="D42" s="97" t="n"/>
      <c r="E42" s="97" t="n"/>
      <c r="F42" s="97" t="n"/>
      <c r="G42" s="97" t="n"/>
      <c r="H42" s="97" t="n"/>
    </row>
    <row r="43" ht="15.75" customHeight="1" s="163">
      <c r="A43" s="97" t="n"/>
      <c r="B43" s="97" t="n"/>
      <c r="C43" s="97" t="n"/>
      <c r="D43" s="97" t="n"/>
      <c r="E43" s="97" t="n"/>
      <c r="F43" s="97" t="n"/>
      <c r="G43" s="97" t="n"/>
      <c r="H43" s="97" t="n"/>
    </row>
    <row r="44" ht="15.75" customHeight="1" s="163">
      <c r="A44" s="97" t="n"/>
      <c r="B44" s="97" t="n"/>
      <c r="C44" s="97" t="n"/>
      <c r="D44" s="97" t="n"/>
      <c r="E44" s="97" t="n"/>
      <c r="F44" s="97" t="n"/>
      <c r="G44" s="97" t="n"/>
      <c r="H44" s="97" t="n"/>
    </row>
    <row r="45" ht="15.75" customHeight="1" s="163">
      <c r="A45" s="97" t="n"/>
      <c r="B45" s="97" t="n"/>
      <c r="C45" s="97" t="n"/>
      <c r="D45" s="97" t="n"/>
      <c r="E45" s="97" t="n"/>
      <c r="F45" s="97" t="n"/>
      <c r="G45" s="97" t="n"/>
      <c r="H45" s="97" t="n"/>
    </row>
    <row r="46" ht="15.75" customHeight="1" s="163">
      <c r="A46" s="97" t="n"/>
      <c r="B46" s="97" t="n"/>
      <c r="C46" s="97" t="n"/>
      <c r="D46" s="97" t="n"/>
      <c r="E46" s="97" t="n"/>
      <c r="F46" s="97" t="n"/>
      <c r="G46" s="97" t="n"/>
      <c r="H46" s="97" t="n"/>
    </row>
    <row r="47" ht="15.75" customHeight="1" s="163">
      <c r="A47" s="97" t="n"/>
      <c r="B47" s="97" t="n"/>
      <c r="C47" s="97" t="n"/>
      <c r="D47" s="97" t="n"/>
      <c r="E47" s="97" t="n"/>
      <c r="F47" s="97" t="n"/>
      <c r="G47" s="97" t="n"/>
      <c r="H47" s="97" t="n"/>
    </row>
    <row r="48" ht="15.75" customHeight="1" s="163">
      <c r="A48" s="97" t="n"/>
      <c r="B48" s="97" t="n"/>
      <c r="C48" s="97" t="n"/>
      <c r="D48" s="97" t="n"/>
      <c r="E48" s="97" t="n"/>
      <c r="F48" s="97" t="n"/>
      <c r="G48" s="97" t="n"/>
      <c r="H48" s="97" t="n"/>
    </row>
    <row r="49" ht="15.75" customHeight="1" s="163">
      <c r="A49" s="97" t="n"/>
      <c r="B49" s="97" t="n"/>
      <c r="C49" s="97" t="n"/>
      <c r="D49" s="97" t="n"/>
      <c r="E49" s="97" t="n"/>
      <c r="F49" s="97" t="n"/>
      <c r="G49" s="97" t="n"/>
      <c r="H49" s="97" t="n"/>
    </row>
    <row r="50" ht="15.75" customHeight="1" s="163">
      <c r="A50" s="97" t="n"/>
      <c r="B50" s="97" t="n"/>
      <c r="C50" s="97" t="n"/>
      <c r="D50" s="97" t="n"/>
      <c r="E50" s="97" t="n"/>
      <c r="F50" s="97" t="n"/>
      <c r="G50" s="97" t="n"/>
      <c r="H50" s="97" t="n"/>
    </row>
    <row r="51" ht="15.75" customHeight="1" s="163">
      <c r="A51" s="97" t="n"/>
      <c r="B51" s="97" t="n"/>
      <c r="C51" s="97" t="n"/>
      <c r="D51" s="97" t="n"/>
      <c r="E51" s="97" t="n"/>
      <c r="F51" s="97" t="n"/>
      <c r="G51" s="97" t="n"/>
      <c r="H51" s="97" t="n"/>
    </row>
    <row r="52" ht="15.75" customHeight="1" s="163">
      <c r="A52" s="97" t="n"/>
      <c r="B52" s="97" t="n"/>
      <c r="C52" s="97" t="n"/>
      <c r="D52" s="97" t="n"/>
      <c r="E52" s="97" t="n"/>
      <c r="F52" s="97" t="n"/>
      <c r="G52" s="97" t="n"/>
      <c r="H52" s="97" t="n"/>
    </row>
    <row r="53" ht="15.75" customHeight="1" s="163">
      <c r="A53" s="97" t="n"/>
      <c r="B53" s="97" t="n"/>
      <c r="C53" s="97" t="n"/>
      <c r="D53" s="97" t="n"/>
      <c r="E53" s="97" t="n"/>
      <c r="F53" s="97" t="n"/>
      <c r="G53" s="97" t="n"/>
      <c r="H53" s="97" t="n"/>
    </row>
    <row r="54" ht="15.75" customHeight="1" s="163">
      <c r="A54" s="97" t="n"/>
      <c r="B54" s="97" t="n"/>
      <c r="C54" s="97" t="n"/>
      <c r="D54" s="97" t="n"/>
      <c r="E54" s="97" t="n"/>
      <c r="F54" s="97" t="n"/>
      <c r="G54" s="97" t="n"/>
      <c r="H54" s="97" t="n"/>
    </row>
    <row r="55" ht="15.75" customHeight="1" s="163">
      <c r="A55" s="97" t="n"/>
      <c r="B55" s="97" t="n"/>
      <c r="C55" s="97" t="n"/>
      <c r="D55" s="97" t="n"/>
      <c r="E55" s="97" t="n"/>
      <c r="F55" s="97" t="n"/>
      <c r="G55" s="97" t="n"/>
      <c r="H55" s="97" t="n"/>
    </row>
    <row r="56" ht="15.75" customHeight="1" s="163">
      <c r="A56" s="97" t="n"/>
      <c r="B56" s="97" t="n"/>
      <c r="C56" s="97" t="n"/>
      <c r="D56" s="97" t="n"/>
      <c r="E56" s="97" t="n"/>
      <c r="F56" s="97" t="n"/>
      <c r="G56" s="97" t="n"/>
      <c r="H56" s="97" t="n"/>
    </row>
    <row r="57" ht="15.75" customHeight="1" s="163">
      <c r="A57" s="97" t="n"/>
      <c r="B57" s="97" t="n"/>
      <c r="C57" s="97" t="n"/>
      <c r="D57" s="97" t="n"/>
      <c r="E57" s="97" t="n"/>
      <c r="F57" s="97" t="n"/>
      <c r="G57" s="97" t="n"/>
      <c r="H57" s="97" t="n"/>
    </row>
    <row r="58" ht="15.75" customHeight="1" s="163">
      <c r="A58" s="97" t="n"/>
      <c r="B58" s="97" t="n"/>
      <c r="C58" s="97" t="n"/>
      <c r="D58" s="97" t="n"/>
      <c r="E58" s="97" t="n"/>
      <c r="F58" s="97" t="n"/>
      <c r="G58" s="97" t="n"/>
      <c r="H58" s="97" t="n"/>
    </row>
    <row r="59" ht="15.75" customHeight="1" s="163">
      <c r="A59" s="97" t="n"/>
      <c r="B59" s="97" t="n"/>
      <c r="C59" s="97" t="n"/>
      <c r="D59" s="97" t="n"/>
      <c r="E59" s="97" t="n"/>
      <c r="F59" s="97" t="n"/>
      <c r="G59" s="97" t="n"/>
      <c r="H59" s="97" t="n"/>
    </row>
    <row r="60" ht="15.75" customHeight="1" s="163">
      <c r="A60" s="97" t="n"/>
      <c r="B60" s="97" t="n"/>
      <c r="C60" s="97" t="n"/>
      <c r="D60" s="97" t="n"/>
      <c r="E60" s="97" t="n"/>
      <c r="F60" s="97" t="n"/>
      <c r="G60" s="97" t="n"/>
      <c r="H60" s="97" t="n"/>
    </row>
    <row r="61" ht="15.75" customHeight="1" s="163">
      <c r="A61" s="97" t="n"/>
      <c r="B61" s="97" t="n"/>
      <c r="C61" s="97" t="n"/>
      <c r="D61" s="97" t="n"/>
      <c r="E61" s="97" t="n"/>
      <c r="F61" s="97" t="n"/>
      <c r="G61" s="97" t="n"/>
      <c r="H61" s="97" t="n"/>
    </row>
    <row r="62" ht="15.75" customHeight="1" s="163">
      <c r="A62" s="97" t="n"/>
      <c r="B62" s="97" t="n"/>
      <c r="C62" s="97" t="n"/>
      <c r="D62" s="97" t="n"/>
      <c r="E62" s="97" t="n"/>
      <c r="F62" s="97" t="n"/>
      <c r="G62" s="97" t="n"/>
      <c r="H62" s="97" t="n"/>
    </row>
    <row r="63" ht="15.75" customHeight="1" s="163">
      <c r="A63" s="97" t="n"/>
      <c r="B63" s="97" t="n"/>
      <c r="C63" s="97" t="n"/>
      <c r="D63" s="97" t="n"/>
      <c r="E63" s="97" t="n"/>
      <c r="F63" s="97" t="n"/>
      <c r="G63" s="97" t="n"/>
      <c r="H63" s="97" t="n"/>
    </row>
    <row r="64" ht="15.75" customHeight="1" s="163">
      <c r="A64" s="97" t="n"/>
      <c r="B64" s="97" t="n"/>
      <c r="C64" s="97" t="n"/>
      <c r="D64" s="97" t="n"/>
      <c r="E64" s="97" t="n"/>
      <c r="F64" s="97" t="n"/>
      <c r="G64" s="97" t="n"/>
      <c r="H64" s="97" t="n"/>
    </row>
    <row r="65" ht="15.75" customHeight="1" s="163">
      <c r="A65" s="97" t="n"/>
      <c r="B65" s="97" t="n"/>
      <c r="C65" s="97" t="n"/>
      <c r="D65" s="97" t="n"/>
      <c r="E65" s="97" t="n"/>
      <c r="F65" s="97" t="n"/>
      <c r="G65" s="97" t="n"/>
      <c r="H65" s="97" t="n"/>
    </row>
    <row r="66" ht="15.75" customHeight="1" s="163">
      <c r="A66" s="97" t="n"/>
      <c r="B66" s="97" t="n"/>
      <c r="C66" s="97" t="n"/>
      <c r="D66" s="97" t="n"/>
      <c r="E66" s="97" t="n"/>
      <c r="F66" s="97" t="n"/>
      <c r="G66" s="97" t="n"/>
      <c r="H66" s="97" t="n"/>
    </row>
    <row r="67" ht="15.75" customHeight="1" s="163">
      <c r="A67" s="97" t="n"/>
      <c r="B67" s="97" t="n"/>
      <c r="C67" s="97" t="n"/>
      <c r="D67" s="97" t="n"/>
      <c r="E67" s="97" t="n"/>
      <c r="F67" s="97" t="n"/>
      <c r="G67" s="97" t="n"/>
      <c r="H67" s="97" t="n"/>
    </row>
    <row r="68" ht="15.75" customHeight="1" s="163">
      <c r="A68" s="97" t="n"/>
      <c r="B68" s="97" t="n"/>
      <c r="C68" s="97" t="n"/>
      <c r="D68" s="97" t="n"/>
      <c r="E68" s="97" t="n"/>
      <c r="F68" s="97" t="n"/>
      <c r="G68" s="97" t="n"/>
      <c r="H68" s="97" t="n"/>
    </row>
    <row r="69" ht="15.75" customHeight="1" s="163">
      <c r="A69" s="97" t="n"/>
      <c r="B69" s="97" t="n"/>
      <c r="C69" s="97" t="n"/>
      <c r="D69" s="97" t="n"/>
      <c r="E69" s="97" t="n"/>
      <c r="F69" s="97" t="n"/>
      <c r="G69" s="97" t="n"/>
      <c r="H69" s="97" t="n"/>
    </row>
    <row r="70" ht="15.75" customHeight="1" s="163">
      <c r="A70" s="97" t="n"/>
      <c r="B70" s="97" t="n"/>
      <c r="C70" s="97" t="n"/>
      <c r="D70" s="97" t="n"/>
      <c r="E70" s="97" t="n"/>
      <c r="F70" s="97" t="n"/>
      <c r="G70" s="97" t="n"/>
      <c r="H70" s="97" t="n"/>
    </row>
    <row r="71" ht="15.75" customHeight="1" s="163">
      <c r="A71" s="97" t="n"/>
      <c r="B71" s="97" t="n"/>
      <c r="C71" s="97" t="n"/>
      <c r="D71" s="97" t="n"/>
      <c r="E71" s="97" t="n"/>
      <c r="F71" s="97" t="n"/>
      <c r="G71" s="97" t="n"/>
      <c r="H71" s="97" t="n"/>
    </row>
    <row r="72" ht="15.75" customHeight="1" s="163">
      <c r="A72" s="97" t="n"/>
      <c r="B72" s="97" t="n"/>
      <c r="C72" s="97" t="n"/>
      <c r="D72" s="97" t="n"/>
      <c r="E72" s="97" t="n"/>
      <c r="F72" s="97" t="n"/>
      <c r="G72" s="97" t="n"/>
      <c r="H72" s="97" t="n"/>
    </row>
    <row r="73" ht="15.75" customHeight="1" s="163">
      <c r="A73" s="97" t="n"/>
      <c r="B73" s="97" t="n"/>
      <c r="C73" s="97" t="n"/>
      <c r="D73" s="97" t="n"/>
      <c r="E73" s="97" t="n"/>
      <c r="F73" s="97" t="n"/>
      <c r="G73" s="97" t="n"/>
      <c r="H73" s="97" t="n"/>
    </row>
    <row r="74" ht="15.75" customHeight="1" s="163">
      <c r="A74" s="97" t="n"/>
      <c r="B74" s="97" t="n"/>
      <c r="C74" s="97" t="n"/>
      <c r="D74" s="97" t="n"/>
      <c r="E74" s="97" t="n"/>
      <c r="F74" s="97" t="n"/>
      <c r="G74" s="97" t="n"/>
      <c r="H74" s="97" t="n"/>
    </row>
    <row r="75" ht="15.75" customHeight="1" s="163">
      <c r="A75" s="97" t="n"/>
      <c r="B75" s="97" t="n"/>
      <c r="C75" s="97" t="n"/>
      <c r="D75" s="97" t="n"/>
      <c r="E75" s="97" t="n"/>
      <c r="F75" s="97" t="n"/>
      <c r="G75" s="97" t="n"/>
      <c r="H75" s="97" t="n"/>
    </row>
    <row r="76" ht="15.75" customHeight="1" s="163">
      <c r="A76" s="97" t="n"/>
      <c r="B76" s="97" t="n"/>
      <c r="C76" s="97" t="n"/>
      <c r="D76" s="97" t="n"/>
      <c r="E76" s="97" t="n"/>
      <c r="F76" s="97" t="n"/>
      <c r="G76" s="97" t="n"/>
      <c r="H76" s="97" t="n"/>
    </row>
    <row r="77" ht="15.75" customHeight="1" s="163">
      <c r="A77" s="97" t="n"/>
      <c r="B77" s="97" t="n"/>
      <c r="C77" s="97" t="n"/>
      <c r="D77" s="97" t="n"/>
      <c r="E77" s="97" t="n"/>
      <c r="F77" s="97" t="n"/>
      <c r="G77" s="97" t="n"/>
      <c r="H77" s="97" t="n"/>
    </row>
    <row r="78" ht="15.75" customHeight="1" s="163">
      <c r="A78" s="97" t="n"/>
      <c r="B78" s="97" t="n"/>
      <c r="C78" s="97" t="n"/>
      <c r="D78" s="97" t="n"/>
      <c r="E78" s="97" t="n"/>
      <c r="F78" s="97" t="n"/>
      <c r="G78" s="97" t="n"/>
      <c r="H78" s="97" t="n"/>
    </row>
    <row r="79" ht="15.75" customHeight="1" s="163">
      <c r="A79" s="97" t="n"/>
      <c r="B79" s="97" t="n"/>
      <c r="C79" s="97" t="n"/>
      <c r="D79" s="97" t="n"/>
      <c r="E79" s="97" t="n"/>
      <c r="F79" s="97" t="n"/>
      <c r="G79" s="97" t="n"/>
      <c r="H79" s="97" t="n"/>
    </row>
    <row r="80" ht="15.75" customHeight="1" s="163">
      <c r="A80" s="97" t="n"/>
      <c r="B80" s="97" t="n"/>
      <c r="C80" s="97" t="n"/>
      <c r="D80" s="97" t="n"/>
      <c r="E80" s="97" t="n"/>
      <c r="F80" s="97" t="n"/>
      <c r="G80" s="97" t="n"/>
      <c r="H80" s="97" t="n"/>
    </row>
    <row r="81" ht="15.75" customHeight="1" s="163">
      <c r="A81" s="97" t="n"/>
      <c r="B81" s="97" t="n"/>
      <c r="C81" s="97" t="n"/>
      <c r="D81" s="97" t="n"/>
      <c r="E81" s="97" t="n"/>
      <c r="F81" s="97" t="n"/>
      <c r="G81" s="97" t="n"/>
      <c r="H81" s="97" t="n"/>
    </row>
    <row r="82" ht="15.75" customHeight="1" s="163">
      <c r="A82" s="97" t="n"/>
      <c r="B82" s="97" t="n"/>
      <c r="C82" s="97" t="n"/>
      <c r="D82" s="97" t="n"/>
      <c r="E82" s="97" t="n"/>
      <c r="F82" s="97" t="n"/>
      <c r="G82" s="97" t="n"/>
      <c r="H82" s="97" t="n"/>
    </row>
    <row r="83" ht="15.75" customHeight="1" s="163">
      <c r="A83" s="97" t="n"/>
      <c r="B83" s="97" t="n"/>
      <c r="C83" s="97" t="n"/>
      <c r="D83" s="97" t="n"/>
      <c r="E83" s="97" t="n"/>
      <c r="F83" s="97" t="n"/>
      <c r="G83" s="97" t="n"/>
      <c r="H83" s="97" t="n"/>
    </row>
    <row r="84" ht="15.75" customHeight="1" s="163">
      <c r="A84" s="97" t="n"/>
      <c r="B84" s="97" t="n"/>
      <c r="C84" s="97" t="n"/>
      <c r="D84" s="97" t="n"/>
      <c r="E84" s="97" t="n"/>
      <c r="F84" s="97" t="n"/>
      <c r="G84" s="97" t="n"/>
      <c r="H84" s="97" t="n"/>
    </row>
    <row r="85" ht="15.75" customHeight="1" s="163">
      <c r="A85" s="97" t="n"/>
      <c r="B85" s="97" t="n"/>
      <c r="C85" s="97" t="n"/>
      <c r="D85" s="97" t="n"/>
      <c r="E85" s="97" t="n"/>
      <c r="F85" s="97" t="n"/>
      <c r="G85" s="97" t="n"/>
      <c r="H85" s="97" t="n"/>
    </row>
    <row r="86" ht="15.75" customHeight="1" s="163">
      <c r="A86" s="97" t="n"/>
      <c r="B86" s="97" t="n"/>
      <c r="C86" s="97" t="n"/>
      <c r="D86" s="97" t="n"/>
      <c r="E86" s="97" t="n"/>
      <c r="F86" s="97" t="n"/>
      <c r="G86" s="97" t="n"/>
      <c r="H86" s="97" t="n"/>
    </row>
    <row r="87" ht="15.75" customHeight="1" s="163">
      <c r="A87" s="97" t="n"/>
      <c r="B87" s="97" t="n"/>
      <c r="C87" s="97" t="n"/>
      <c r="D87" s="97" t="n"/>
      <c r="E87" s="97" t="n"/>
      <c r="F87" s="97" t="n"/>
      <c r="G87" s="97" t="n"/>
      <c r="H87" s="97" t="n"/>
    </row>
    <row r="88" ht="15.75" customHeight="1" s="163">
      <c r="A88" s="97" t="n"/>
      <c r="B88" s="97" t="n"/>
      <c r="C88" s="97" t="n"/>
      <c r="D88" s="97" t="n"/>
      <c r="E88" s="97" t="n"/>
      <c r="F88" s="97" t="n"/>
      <c r="G88" s="97" t="n"/>
      <c r="H88" s="97" t="n"/>
    </row>
    <row r="89" ht="15.75" customHeight="1" s="163">
      <c r="A89" s="97" t="n"/>
      <c r="B89" s="97" t="n"/>
      <c r="C89" s="97" t="n"/>
      <c r="D89" s="97" t="n"/>
      <c r="E89" s="97" t="n"/>
      <c r="F89" s="97" t="n"/>
      <c r="G89" s="97" t="n"/>
      <c r="H89" s="97" t="n"/>
    </row>
    <row r="90" ht="15.75" customHeight="1" s="163">
      <c r="A90" s="97" t="n"/>
      <c r="B90" s="97" t="n"/>
      <c r="C90" s="97" t="n"/>
      <c r="D90" s="97" t="n"/>
      <c r="E90" s="97" t="n"/>
      <c r="F90" s="97" t="n"/>
      <c r="G90" s="97" t="n"/>
      <c r="H90" s="97" t="n"/>
    </row>
    <row r="91" ht="15.75" customHeight="1" s="163">
      <c r="A91" s="97" t="n"/>
      <c r="B91" s="97" t="n"/>
      <c r="C91" s="97" t="n"/>
      <c r="D91" s="97" t="n"/>
      <c r="E91" s="97" t="n"/>
      <c r="F91" s="97" t="n"/>
      <c r="G91" s="97" t="n"/>
      <c r="H91" s="97" t="n"/>
    </row>
    <row r="92" ht="15.75" customHeight="1" s="163">
      <c r="A92" s="97" t="n"/>
      <c r="B92" s="97" t="n"/>
      <c r="C92" s="97" t="n"/>
      <c r="D92" s="97" t="n"/>
      <c r="E92" s="97" t="n"/>
      <c r="F92" s="97" t="n"/>
      <c r="G92" s="97" t="n"/>
      <c r="H92" s="97" t="n"/>
    </row>
    <row r="93" ht="15.75" customHeight="1" s="163">
      <c r="A93" s="97" t="n"/>
      <c r="B93" s="97" t="n"/>
      <c r="C93" s="97" t="n"/>
      <c r="D93" s="97" t="n"/>
      <c r="E93" s="97" t="n"/>
      <c r="F93" s="97" t="n"/>
      <c r="G93" s="97" t="n"/>
      <c r="H93" s="97" t="n"/>
    </row>
    <row r="94" ht="15.75" customHeight="1" s="163">
      <c r="A94" s="97" t="n"/>
      <c r="B94" s="97" t="n"/>
      <c r="C94" s="97" t="n"/>
      <c r="D94" s="97" t="n"/>
      <c r="E94" s="97" t="n"/>
      <c r="F94" s="97" t="n"/>
      <c r="G94" s="97" t="n"/>
      <c r="H94" s="97" t="n"/>
    </row>
    <row r="95" ht="15.75" customHeight="1" s="163">
      <c r="A95" s="97" t="n"/>
      <c r="B95" s="97" t="n"/>
      <c r="C95" s="97" t="n"/>
      <c r="D95" s="97" t="n"/>
      <c r="E95" s="97" t="n"/>
      <c r="F95" s="97" t="n"/>
      <c r="G95" s="97" t="n"/>
      <c r="H95" s="97" t="n"/>
    </row>
    <row r="96" ht="15.75" customHeight="1" s="163">
      <c r="A96" s="97" t="n"/>
      <c r="B96" s="97" t="n"/>
      <c r="C96" s="97" t="n"/>
      <c r="D96" s="97" t="n"/>
      <c r="E96" s="97" t="n"/>
      <c r="F96" s="97" t="n"/>
      <c r="G96" s="97" t="n"/>
      <c r="H96" s="97" t="n"/>
    </row>
    <row r="97" ht="15.75" customHeight="1" s="163">
      <c r="A97" s="97" t="n"/>
      <c r="B97" s="97" t="n"/>
      <c r="C97" s="97" t="n"/>
      <c r="D97" s="97" t="n"/>
      <c r="E97" s="97" t="n"/>
      <c r="F97" s="97" t="n"/>
      <c r="G97" s="97" t="n"/>
      <c r="H97" s="97" t="n"/>
    </row>
    <row r="98" ht="15.75" customHeight="1" s="163">
      <c r="A98" s="97" t="n"/>
      <c r="B98" s="97" t="n"/>
      <c r="C98" s="97" t="n"/>
      <c r="D98" s="97" t="n"/>
      <c r="E98" s="97" t="n"/>
      <c r="F98" s="97" t="n"/>
      <c r="G98" s="97" t="n"/>
      <c r="H98" s="97" t="n"/>
    </row>
    <row r="99" ht="15.75" customHeight="1" s="163">
      <c r="A99" s="97" t="n"/>
      <c r="B99" s="97" t="n"/>
      <c r="C99" s="97" t="n"/>
      <c r="D99" s="97" t="n"/>
      <c r="E99" s="97" t="n"/>
      <c r="F99" s="97" t="n"/>
      <c r="G99" s="97" t="n"/>
      <c r="H99" s="97" t="n"/>
    </row>
    <row r="100" ht="15.75" customHeight="1" s="163">
      <c r="A100" s="97" t="n"/>
      <c r="B100" s="97" t="n"/>
      <c r="C100" s="97" t="n"/>
      <c r="D100" s="97" t="n"/>
      <c r="E100" s="97" t="n"/>
      <c r="F100" s="97" t="n"/>
      <c r="G100" s="97" t="n"/>
      <c r="H100" s="97" t="n"/>
    </row>
    <row r="101" ht="15.75" customHeight="1" s="163">
      <c r="A101" s="97" t="n"/>
      <c r="B101" s="97" t="n"/>
      <c r="C101" s="97" t="n"/>
      <c r="D101" s="97" t="n"/>
      <c r="E101" s="97" t="n"/>
      <c r="F101" s="97" t="n"/>
      <c r="G101" s="97" t="n"/>
      <c r="H101" s="97" t="n"/>
    </row>
    <row r="102" ht="15.75" customHeight="1" s="163">
      <c r="A102" s="97" t="n"/>
      <c r="B102" s="97" t="n"/>
      <c r="C102" s="97" t="n"/>
      <c r="D102" s="97" t="n"/>
      <c r="E102" s="97" t="n"/>
      <c r="F102" s="97" t="n"/>
      <c r="G102" s="97" t="n"/>
      <c r="H102" s="97" t="n"/>
    </row>
    <row r="103" ht="15.75" customHeight="1" s="163">
      <c r="A103" s="97" t="n"/>
      <c r="B103" s="97" t="n"/>
      <c r="C103" s="97" t="n"/>
      <c r="D103" s="97" t="n"/>
      <c r="E103" s="97" t="n"/>
      <c r="F103" s="97" t="n"/>
      <c r="G103" s="97" t="n"/>
      <c r="H103" s="97" t="n"/>
    </row>
    <row r="104" ht="15.75" customHeight="1" s="163">
      <c r="A104" s="97" t="n"/>
      <c r="B104" s="97" t="n"/>
      <c r="C104" s="97" t="n"/>
      <c r="D104" s="97" t="n"/>
      <c r="E104" s="97" t="n"/>
      <c r="F104" s="97" t="n"/>
      <c r="G104" s="97" t="n"/>
      <c r="H104" s="97" t="n"/>
    </row>
    <row r="105" ht="15.75" customHeight="1" s="163">
      <c r="A105" s="97" t="n"/>
      <c r="B105" s="97" t="n"/>
      <c r="C105" s="97" t="n"/>
      <c r="D105" s="97" t="n"/>
      <c r="E105" s="97" t="n"/>
      <c r="F105" s="97" t="n"/>
      <c r="G105" s="97" t="n"/>
      <c r="H105" s="97" t="n"/>
    </row>
    <row r="106" ht="15.75" customHeight="1" s="163">
      <c r="A106" s="97" t="n"/>
      <c r="B106" s="97" t="n"/>
      <c r="C106" s="97" t="n"/>
      <c r="D106" s="97" t="n"/>
      <c r="E106" s="97" t="n"/>
      <c r="F106" s="97" t="n"/>
      <c r="G106" s="97" t="n"/>
      <c r="H106" s="97" t="n"/>
    </row>
    <row r="107" ht="15.75" customHeight="1" s="163">
      <c r="A107" s="97" t="n"/>
      <c r="B107" s="97" t="n"/>
      <c r="C107" s="97" t="n"/>
      <c r="D107" s="97" t="n"/>
      <c r="E107" s="97" t="n"/>
      <c r="F107" s="97" t="n"/>
      <c r="G107" s="97" t="n"/>
      <c r="H107" s="97" t="n"/>
    </row>
    <row r="108" ht="15.75" customHeight="1" s="163">
      <c r="A108" s="97" t="n"/>
      <c r="B108" s="97" t="n"/>
      <c r="C108" s="97" t="n"/>
      <c r="D108" s="97" t="n"/>
      <c r="E108" s="97" t="n"/>
      <c r="F108" s="97" t="n"/>
      <c r="G108" s="97" t="n"/>
      <c r="H108" s="97" t="n"/>
    </row>
    <row r="109" ht="15.75" customHeight="1" s="163">
      <c r="A109" s="97" t="n"/>
      <c r="B109" s="97" t="n"/>
      <c r="C109" s="97" t="n"/>
      <c r="D109" s="97" t="n"/>
      <c r="E109" s="97" t="n"/>
      <c r="F109" s="97" t="n"/>
      <c r="G109" s="97" t="n"/>
      <c r="H109" s="97" t="n"/>
    </row>
    <row r="110" ht="15.75" customHeight="1" s="163">
      <c r="A110" s="97" t="n"/>
      <c r="B110" s="97" t="n"/>
      <c r="C110" s="97" t="n"/>
      <c r="D110" s="97" t="n"/>
      <c r="E110" s="97" t="n"/>
      <c r="F110" s="97" t="n"/>
      <c r="G110" s="97" t="n"/>
      <c r="H110" s="97" t="n"/>
    </row>
    <row r="111" ht="15.75" customHeight="1" s="163">
      <c r="A111" s="97" t="n"/>
      <c r="B111" s="97" t="n"/>
      <c r="C111" s="97" t="n"/>
      <c r="D111" s="97" t="n"/>
      <c r="E111" s="97" t="n"/>
      <c r="F111" s="97" t="n"/>
      <c r="G111" s="97" t="n"/>
      <c r="H111" s="97" t="n"/>
    </row>
    <row r="112" ht="15.75" customHeight="1" s="163">
      <c r="A112" s="97" t="n"/>
      <c r="B112" s="97" t="n"/>
      <c r="C112" s="97" t="n"/>
      <c r="D112" s="97" t="n"/>
      <c r="E112" s="97" t="n"/>
      <c r="F112" s="97" t="n"/>
      <c r="G112" s="97" t="n"/>
      <c r="H112" s="97" t="n"/>
    </row>
    <row r="113" ht="15.75" customHeight="1" s="163">
      <c r="A113" s="97" t="n"/>
      <c r="B113" s="97" t="n"/>
      <c r="C113" s="97" t="n"/>
      <c r="D113" s="97" t="n"/>
      <c r="E113" s="97" t="n"/>
      <c r="F113" s="97" t="n"/>
      <c r="G113" s="97" t="n"/>
      <c r="H113" s="97" t="n"/>
    </row>
    <row r="114" ht="15.75" customHeight="1" s="163">
      <c r="A114" s="97" t="n"/>
      <c r="B114" s="97" t="n"/>
      <c r="C114" s="97" t="n"/>
      <c r="D114" s="97" t="n"/>
      <c r="E114" s="97" t="n"/>
      <c r="F114" s="97" t="n"/>
      <c r="G114" s="97" t="n"/>
      <c r="H114" s="97" t="n"/>
    </row>
    <row r="115" ht="15.75" customHeight="1" s="163">
      <c r="A115" s="97" t="n"/>
      <c r="B115" s="97" t="n"/>
      <c r="C115" s="97" t="n"/>
      <c r="D115" s="97" t="n"/>
      <c r="E115" s="97" t="n"/>
      <c r="F115" s="97" t="n"/>
      <c r="G115" s="97" t="n"/>
      <c r="H115" s="97" t="n"/>
    </row>
    <row r="116" ht="15.75" customHeight="1" s="163">
      <c r="A116" s="97" t="n"/>
      <c r="B116" s="97" t="n"/>
      <c r="C116" s="97" t="n"/>
      <c r="D116" s="97" t="n"/>
      <c r="E116" s="97" t="n"/>
      <c r="F116" s="97" t="n"/>
      <c r="G116" s="97" t="n"/>
      <c r="H116" s="97" t="n"/>
    </row>
    <row r="117" ht="15.75" customHeight="1" s="163">
      <c r="A117" s="97" t="n"/>
      <c r="B117" s="97" t="n"/>
      <c r="C117" s="97" t="n"/>
      <c r="D117" s="97" t="n"/>
      <c r="E117" s="97" t="n"/>
      <c r="F117" s="97" t="n"/>
      <c r="G117" s="97" t="n"/>
      <c r="H117" s="97" t="n"/>
    </row>
    <row r="118" ht="15.75" customHeight="1" s="163">
      <c r="A118" s="97" t="n"/>
      <c r="B118" s="97" t="n"/>
      <c r="C118" s="97" t="n"/>
      <c r="D118" s="97" t="n"/>
      <c r="E118" s="97" t="n"/>
      <c r="F118" s="97" t="n"/>
      <c r="G118" s="97" t="n"/>
      <c r="H118" s="97" t="n"/>
    </row>
    <row r="119" ht="15.75" customHeight="1" s="163">
      <c r="A119" s="97" t="n"/>
      <c r="B119" s="97" t="n"/>
      <c r="C119" s="97" t="n"/>
      <c r="D119" s="97" t="n"/>
      <c r="E119" s="97" t="n"/>
      <c r="F119" s="97" t="n"/>
      <c r="G119" s="97" t="n"/>
      <c r="H119" s="97" t="n"/>
    </row>
    <row r="120" ht="15.75" customHeight="1" s="163">
      <c r="A120" s="97" t="n"/>
      <c r="B120" s="97" t="n"/>
      <c r="C120" s="97" t="n"/>
      <c r="D120" s="97" t="n"/>
      <c r="E120" s="97" t="n"/>
      <c r="F120" s="97" t="n"/>
      <c r="G120" s="97" t="n"/>
      <c r="H120" s="97" t="n"/>
    </row>
    <row r="121" ht="15.75" customHeight="1" s="163">
      <c r="A121" s="97" t="n"/>
      <c r="B121" s="97" t="n"/>
      <c r="C121" s="97" t="n"/>
      <c r="D121" s="97" t="n"/>
      <c r="E121" s="97" t="n"/>
      <c r="F121" s="97" t="n"/>
      <c r="G121" s="97" t="n"/>
      <c r="H121" s="97" t="n"/>
    </row>
    <row r="122" ht="15.75" customHeight="1" s="163">
      <c r="A122" s="97" t="n"/>
      <c r="B122" s="97" t="n"/>
      <c r="C122" s="97" t="n"/>
      <c r="D122" s="97" t="n"/>
      <c r="E122" s="97" t="n"/>
      <c r="F122" s="97" t="n"/>
      <c r="G122" s="97" t="n"/>
      <c r="H122" s="97" t="n"/>
    </row>
    <row r="123" ht="15.75" customHeight="1" s="163">
      <c r="A123" s="97" t="n"/>
      <c r="B123" s="97" t="n"/>
      <c r="C123" s="97" t="n"/>
      <c r="D123" s="97" t="n"/>
      <c r="E123" s="97" t="n"/>
      <c r="F123" s="97" t="n"/>
      <c r="G123" s="97" t="n"/>
      <c r="H123" s="97" t="n"/>
    </row>
    <row r="124" ht="15.75" customHeight="1" s="163">
      <c r="A124" s="97" t="n"/>
      <c r="B124" s="97" t="n"/>
      <c r="C124" s="97" t="n"/>
      <c r="D124" s="97" t="n"/>
      <c r="E124" s="97" t="n"/>
      <c r="F124" s="97" t="n"/>
      <c r="G124" s="97" t="n"/>
      <c r="H124" s="97" t="n"/>
    </row>
    <row r="125" ht="15.75" customHeight="1" s="163">
      <c r="A125" s="97" t="n"/>
      <c r="B125" s="97" t="n"/>
      <c r="C125" s="97" t="n"/>
      <c r="D125" s="97" t="n"/>
      <c r="E125" s="97" t="n"/>
      <c r="F125" s="97" t="n"/>
      <c r="G125" s="97" t="n"/>
      <c r="H125" s="97" t="n"/>
    </row>
    <row r="126" ht="15.75" customHeight="1" s="163">
      <c r="A126" s="97" t="n"/>
      <c r="B126" s="97" t="n"/>
      <c r="C126" s="97" t="n"/>
      <c r="D126" s="97" t="n"/>
      <c r="E126" s="97" t="n"/>
      <c r="F126" s="97" t="n"/>
      <c r="G126" s="97" t="n"/>
      <c r="H126" s="97" t="n"/>
    </row>
    <row r="127" ht="15.75" customHeight="1" s="163">
      <c r="A127" s="97" t="n"/>
      <c r="B127" s="97" t="n"/>
      <c r="C127" s="97" t="n"/>
      <c r="D127" s="97" t="n"/>
      <c r="E127" s="97" t="n"/>
      <c r="F127" s="97" t="n"/>
      <c r="G127" s="97" t="n"/>
      <c r="H127" s="97" t="n"/>
    </row>
    <row r="128" ht="15.75" customHeight="1" s="163">
      <c r="A128" s="97" t="n"/>
      <c r="B128" s="97" t="n"/>
      <c r="C128" s="97" t="n"/>
      <c r="D128" s="97" t="n"/>
      <c r="E128" s="97" t="n"/>
      <c r="F128" s="97" t="n"/>
      <c r="G128" s="97" t="n"/>
      <c r="H128" s="97" t="n"/>
    </row>
    <row r="129" ht="15.75" customHeight="1" s="163">
      <c r="A129" s="97" t="n"/>
      <c r="B129" s="97" t="n"/>
      <c r="C129" s="97" t="n"/>
      <c r="D129" s="97" t="n"/>
      <c r="E129" s="97" t="n"/>
      <c r="F129" s="97" t="n"/>
      <c r="G129" s="97" t="n"/>
      <c r="H129" s="97" t="n"/>
    </row>
    <row r="130" ht="15.75" customHeight="1" s="163">
      <c r="A130" s="97" t="n"/>
      <c r="B130" s="97" t="n"/>
      <c r="C130" s="97" t="n"/>
      <c r="D130" s="97" t="n"/>
      <c r="E130" s="97" t="n"/>
      <c r="F130" s="97" t="n"/>
      <c r="G130" s="97" t="n"/>
      <c r="H130" s="97" t="n"/>
    </row>
    <row r="131" ht="15.75" customHeight="1" s="163">
      <c r="A131" s="97" t="n"/>
      <c r="B131" s="97" t="n"/>
      <c r="C131" s="97" t="n"/>
      <c r="D131" s="97" t="n"/>
      <c r="E131" s="97" t="n"/>
      <c r="F131" s="97" t="n"/>
      <c r="G131" s="97" t="n"/>
      <c r="H131" s="97" t="n"/>
    </row>
    <row r="132" ht="15.75" customHeight="1" s="163">
      <c r="A132" s="97" t="n"/>
      <c r="B132" s="97" t="n"/>
      <c r="C132" s="97" t="n"/>
      <c r="D132" s="97" t="n"/>
      <c r="E132" s="97" t="n"/>
      <c r="F132" s="97" t="n"/>
      <c r="G132" s="97" t="n"/>
      <c r="H132" s="97" t="n"/>
    </row>
    <row r="133" ht="15.75" customHeight="1" s="163">
      <c r="A133" s="97" t="n"/>
      <c r="B133" s="97" t="n"/>
      <c r="C133" s="97" t="n"/>
      <c r="D133" s="97" t="n"/>
      <c r="E133" s="97" t="n"/>
      <c r="F133" s="97" t="n"/>
      <c r="G133" s="97" t="n"/>
      <c r="H133" s="97" t="n"/>
    </row>
    <row r="134" ht="15.75" customHeight="1" s="163">
      <c r="A134" s="97" t="n"/>
      <c r="B134" s="97" t="n"/>
      <c r="C134" s="97" t="n"/>
      <c r="D134" s="97" t="n"/>
      <c r="E134" s="97" t="n"/>
      <c r="F134" s="97" t="n"/>
      <c r="G134" s="97" t="n"/>
      <c r="H134" s="97" t="n"/>
    </row>
    <row r="135" ht="15.75" customHeight="1" s="163">
      <c r="A135" s="97" t="n"/>
      <c r="B135" s="97" t="n"/>
      <c r="C135" s="97" t="n"/>
      <c r="D135" s="97" t="n"/>
      <c r="E135" s="97" t="n"/>
      <c r="F135" s="97" t="n"/>
      <c r="G135" s="97" t="n"/>
      <c r="H135" s="97" t="n"/>
    </row>
    <row r="136" ht="15.75" customHeight="1" s="163">
      <c r="A136" s="97" t="n"/>
      <c r="B136" s="97" t="n"/>
      <c r="C136" s="97" t="n"/>
      <c r="D136" s="97" t="n"/>
      <c r="E136" s="97" t="n"/>
      <c r="F136" s="97" t="n"/>
      <c r="G136" s="97" t="n"/>
      <c r="H136" s="97" t="n"/>
    </row>
    <row r="137" ht="15.75" customHeight="1" s="163">
      <c r="A137" s="97" t="n"/>
      <c r="B137" s="97" t="n"/>
      <c r="C137" s="97" t="n"/>
      <c r="D137" s="97" t="n"/>
      <c r="E137" s="97" t="n"/>
      <c r="F137" s="97" t="n"/>
      <c r="G137" s="97" t="n"/>
      <c r="H137" s="97" t="n"/>
    </row>
    <row r="138" ht="15.75" customHeight="1" s="163">
      <c r="A138" s="97" t="n"/>
      <c r="B138" s="97" t="n"/>
      <c r="C138" s="97" t="n"/>
      <c r="D138" s="97" t="n"/>
      <c r="E138" s="97" t="n"/>
      <c r="F138" s="97" t="n"/>
      <c r="G138" s="97" t="n"/>
      <c r="H138" s="97" t="n"/>
    </row>
    <row r="139" ht="15.75" customHeight="1" s="163">
      <c r="A139" s="97" t="n"/>
      <c r="B139" s="97" t="n"/>
      <c r="C139" s="97" t="n"/>
      <c r="D139" s="97" t="n"/>
      <c r="E139" s="97" t="n"/>
      <c r="F139" s="97" t="n"/>
      <c r="G139" s="97" t="n"/>
      <c r="H139" s="97" t="n"/>
    </row>
    <row r="140" ht="15.75" customHeight="1" s="163">
      <c r="A140" s="97" t="n"/>
      <c r="B140" s="97" t="n"/>
      <c r="C140" s="97" t="n"/>
      <c r="D140" s="97" t="n"/>
      <c r="E140" s="97" t="n"/>
      <c r="F140" s="97" t="n"/>
      <c r="G140" s="97" t="n"/>
      <c r="H140" s="97" t="n"/>
    </row>
    <row r="141" ht="15.75" customHeight="1" s="163">
      <c r="A141" s="97" t="n"/>
      <c r="B141" s="97" t="n"/>
      <c r="C141" s="97" t="n"/>
      <c r="D141" s="97" t="n"/>
      <c r="E141" s="97" t="n"/>
      <c r="F141" s="97" t="n"/>
      <c r="G141" s="97" t="n"/>
      <c r="H141" s="97" t="n"/>
    </row>
    <row r="142" ht="15.75" customHeight="1" s="163">
      <c r="A142" s="97" t="n"/>
      <c r="B142" s="97" t="n"/>
      <c r="C142" s="97" t="n"/>
      <c r="D142" s="97" t="n"/>
      <c r="E142" s="97" t="n"/>
      <c r="F142" s="97" t="n"/>
      <c r="G142" s="97" t="n"/>
      <c r="H142" s="97" t="n"/>
    </row>
    <row r="143" ht="15.75" customHeight="1" s="163">
      <c r="A143" s="97" t="n"/>
      <c r="B143" s="97" t="n"/>
      <c r="C143" s="97" t="n"/>
      <c r="D143" s="97" t="n"/>
      <c r="E143" s="97" t="n"/>
      <c r="F143" s="97" t="n"/>
      <c r="G143" s="97" t="n"/>
      <c r="H143" s="97" t="n"/>
    </row>
    <row r="144" ht="15.75" customHeight="1" s="163">
      <c r="A144" s="97" t="n"/>
      <c r="B144" s="97" t="n"/>
      <c r="C144" s="97" t="n"/>
      <c r="D144" s="97" t="n"/>
      <c r="E144" s="97" t="n"/>
      <c r="F144" s="97" t="n"/>
      <c r="G144" s="97" t="n"/>
      <c r="H144" s="97" t="n"/>
    </row>
    <row r="145" ht="15.75" customHeight="1" s="163">
      <c r="A145" s="97" t="n"/>
      <c r="B145" s="97" t="n"/>
      <c r="C145" s="97" t="n"/>
      <c r="D145" s="97" t="n"/>
      <c r="E145" s="97" t="n"/>
      <c r="F145" s="97" t="n"/>
      <c r="G145" s="97" t="n"/>
      <c r="H145" s="97" t="n"/>
    </row>
    <row r="146" ht="15.75" customHeight="1" s="163">
      <c r="A146" s="97" t="n"/>
      <c r="B146" s="97" t="n"/>
      <c r="C146" s="97" t="n"/>
      <c r="D146" s="97" t="n"/>
      <c r="E146" s="97" t="n"/>
      <c r="F146" s="97" t="n"/>
      <c r="G146" s="97" t="n"/>
      <c r="H146" s="97" t="n"/>
    </row>
    <row r="147" ht="15.75" customHeight="1" s="163">
      <c r="A147" s="97" t="n"/>
      <c r="B147" s="97" t="n"/>
      <c r="C147" s="97" t="n"/>
      <c r="D147" s="97" t="n"/>
      <c r="E147" s="97" t="n"/>
      <c r="F147" s="97" t="n"/>
      <c r="G147" s="97" t="n"/>
      <c r="H147" s="97" t="n"/>
    </row>
    <row r="148" ht="15.75" customHeight="1" s="163">
      <c r="A148" s="97" t="n"/>
      <c r="B148" s="97" t="n"/>
      <c r="C148" s="97" t="n"/>
      <c r="D148" s="97" t="n"/>
      <c r="E148" s="97" t="n"/>
      <c r="F148" s="97" t="n"/>
      <c r="G148" s="97" t="n"/>
      <c r="H148" s="97" t="n"/>
    </row>
    <row r="149" ht="15.75" customHeight="1" s="163">
      <c r="A149" s="97" t="n"/>
      <c r="B149" s="97" t="n"/>
      <c r="C149" s="97" t="n"/>
      <c r="D149" s="97" t="n"/>
      <c r="E149" s="97" t="n"/>
      <c r="F149" s="97" t="n"/>
      <c r="G149" s="97" t="n"/>
      <c r="H149" s="97" t="n"/>
    </row>
    <row r="150" ht="15.75" customHeight="1" s="163">
      <c r="A150" s="97" t="n"/>
      <c r="B150" s="97" t="n"/>
      <c r="C150" s="97" t="n"/>
      <c r="D150" s="97" t="n"/>
      <c r="E150" s="97" t="n"/>
      <c r="F150" s="97" t="n"/>
      <c r="G150" s="97" t="n"/>
      <c r="H150" s="97" t="n"/>
    </row>
    <row r="151" ht="15.75" customHeight="1" s="163">
      <c r="A151" s="97" t="n"/>
      <c r="B151" s="97" t="n"/>
      <c r="C151" s="97" t="n"/>
      <c r="D151" s="97" t="n"/>
      <c r="E151" s="97" t="n"/>
      <c r="F151" s="97" t="n"/>
      <c r="G151" s="97" t="n"/>
      <c r="H151" s="97" t="n"/>
    </row>
    <row r="152" ht="15.75" customHeight="1" s="163">
      <c r="A152" s="97" t="n"/>
      <c r="B152" s="97" t="n"/>
      <c r="C152" s="97" t="n"/>
      <c r="D152" s="97" t="n"/>
      <c r="E152" s="97" t="n"/>
      <c r="F152" s="97" t="n"/>
      <c r="G152" s="97" t="n"/>
      <c r="H152" s="97" t="n"/>
    </row>
    <row r="153" ht="15.75" customHeight="1" s="163">
      <c r="A153" s="97" t="n"/>
      <c r="B153" s="97" t="n"/>
      <c r="C153" s="97" t="n"/>
      <c r="D153" s="97" t="n"/>
      <c r="E153" s="97" t="n"/>
      <c r="F153" s="97" t="n"/>
      <c r="G153" s="97" t="n"/>
      <c r="H153" s="97" t="n"/>
    </row>
    <row r="154" ht="15.75" customHeight="1" s="163">
      <c r="A154" s="97" t="n"/>
      <c r="B154" s="97" t="n"/>
      <c r="C154" s="97" t="n"/>
      <c r="D154" s="97" t="n"/>
      <c r="E154" s="97" t="n"/>
      <c r="F154" s="97" t="n"/>
      <c r="G154" s="97" t="n"/>
      <c r="H154" s="97" t="n"/>
    </row>
    <row r="155" ht="15.75" customHeight="1" s="163">
      <c r="A155" s="97" t="n"/>
      <c r="B155" s="97" t="n"/>
      <c r="C155" s="97" t="n"/>
      <c r="D155" s="97" t="n"/>
      <c r="E155" s="97" t="n"/>
      <c r="F155" s="97" t="n"/>
      <c r="G155" s="97" t="n"/>
      <c r="H155" s="97" t="n"/>
    </row>
    <row r="156" ht="15.75" customHeight="1" s="163">
      <c r="A156" s="97" t="n"/>
      <c r="B156" s="97" t="n"/>
      <c r="C156" s="97" t="n"/>
      <c r="D156" s="97" t="n"/>
      <c r="E156" s="97" t="n"/>
      <c r="F156" s="97" t="n"/>
      <c r="G156" s="97" t="n"/>
      <c r="H156" s="97" t="n"/>
    </row>
    <row r="157" ht="15.75" customHeight="1" s="163">
      <c r="A157" s="97" t="n"/>
      <c r="B157" s="97" t="n"/>
      <c r="C157" s="97" t="n"/>
      <c r="D157" s="97" t="n"/>
      <c r="E157" s="97" t="n"/>
      <c r="F157" s="97" t="n"/>
      <c r="G157" s="97" t="n"/>
      <c r="H157" s="97" t="n"/>
    </row>
    <row r="158" ht="15.75" customHeight="1" s="163">
      <c r="A158" s="97" t="n"/>
      <c r="B158" s="97" t="n"/>
      <c r="C158" s="97" t="n"/>
      <c r="D158" s="97" t="n"/>
      <c r="E158" s="97" t="n"/>
      <c r="F158" s="97" t="n"/>
      <c r="G158" s="97" t="n"/>
      <c r="H158" s="97" t="n"/>
    </row>
    <row r="159" ht="15.75" customHeight="1" s="163">
      <c r="A159" s="97" t="n"/>
      <c r="B159" s="97" t="n"/>
      <c r="C159" s="97" t="n"/>
      <c r="D159" s="97" t="n"/>
      <c r="E159" s="97" t="n"/>
      <c r="F159" s="97" t="n"/>
      <c r="G159" s="97" t="n"/>
      <c r="H159" s="97" t="n"/>
    </row>
    <row r="160" ht="15.75" customHeight="1" s="163">
      <c r="A160" s="97" t="n"/>
      <c r="B160" s="97" t="n"/>
      <c r="C160" s="97" t="n"/>
      <c r="D160" s="97" t="n"/>
      <c r="E160" s="97" t="n"/>
      <c r="F160" s="97" t="n"/>
      <c r="G160" s="97" t="n"/>
      <c r="H160" s="97" t="n"/>
    </row>
    <row r="161" ht="15.75" customHeight="1" s="163">
      <c r="A161" s="97" t="n"/>
      <c r="B161" s="97" t="n"/>
      <c r="C161" s="97" t="n"/>
      <c r="D161" s="97" t="n"/>
      <c r="E161" s="97" t="n"/>
      <c r="F161" s="97" t="n"/>
      <c r="G161" s="97" t="n"/>
      <c r="H161" s="97" t="n"/>
    </row>
    <row r="162" ht="15.75" customHeight="1" s="163">
      <c r="A162" s="97" t="n"/>
      <c r="B162" s="97" t="n"/>
      <c r="C162" s="97" t="n"/>
      <c r="D162" s="97" t="n"/>
      <c r="E162" s="97" t="n"/>
      <c r="F162" s="97" t="n"/>
      <c r="G162" s="97" t="n"/>
      <c r="H162" s="97" t="n"/>
    </row>
    <row r="163" ht="15.75" customHeight="1" s="163">
      <c r="A163" s="97" t="n"/>
      <c r="B163" s="97" t="n"/>
      <c r="C163" s="97" t="n"/>
      <c r="D163" s="97" t="n"/>
      <c r="E163" s="97" t="n"/>
      <c r="F163" s="97" t="n"/>
      <c r="G163" s="97" t="n"/>
      <c r="H163" s="97" t="n"/>
    </row>
    <row r="164" ht="15.75" customHeight="1" s="163">
      <c r="A164" s="97" t="n"/>
      <c r="B164" s="97" t="n"/>
      <c r="C164" s="97" t="n"/>
      <c r="D164" s="97" t="n"/>
      <c r="E164" s="97" t="n"/>
      <c r="F164" s="97" t="n"/>
      <c r="G164" s="97" t="n"/>
      <c r="H164" s="97" t="n"/>
    </row>
    <row r="165" ht="15.75" customHeight="1" s="163">
      <c r="A165" s="97" t="n"/>
      <c r="B165" s="97" t="n"/>
      <c r="C165" s="97" t="n"/>
      <c r="D165" s="97" t="n"/>
      <c r="E165" s="97" t="n"/>
      <c r="F165" s="97" t="n"/>
      <c r="G165" s="97" t="n"/>
      <c r="H165" s="97" t="n"/>
    </row>
    <row r="166" ht="15.75" customHeight="1" s="163">
      <c r="A166" s="97" t="n"/>
      <c r="B166" s="97" t="n"/>
      <c r="C166" s="97" t="n"/>
      <c r="D166" s="97" t="n"/>
      <c r="E166" s="97" t="n"/>
      <c r="F166" s="97" t="n"/>
      <c r="G166" s="97" t="n"/>
      <c r="H166" s="97" t="n"/>
    </row>
    <row r="167" ht="15.75" customHeight="1" s="163">
      <c r="A167" s="97" t="n"/>
      <c r="B167" s="97" t="n"/>
      <c r="C167" s="97" t="n"/>
      <c r="D167" s="97" t="n"/>
      <c r="E167" s="97" t="n"/>
      <c r="F167" s="97" t="n"/>
      <c r="G167" s="97" t="n"/>
      <c r="H167" s="97" t="n"/>
    </row>
    <row r="168" ht="15.75" customHeight="1" s="163">
      <c r="A168" s="97" t="n"/>
      <c r="B168" s="97" t="n"/>
      <c r="C168" s="97" t="n"/>
      <c r="D168" s="97" t="n"/>
      <c r="E168" s="97" t="n"/>
      <c r="F168" s="97" t="n"/>
      <c r="G168" s="97" t="n"/>
      <c r="H168" s="97" t="n"/>
    </row>
    <row r="169" ht="15.75" customHeight="1" s="163">
      <c r="A169" s="97" t="n"/>
      <c r="B169" s="97" t="n"/>
      <c r="C169" s="97" t="n"/>
      <c r="D169" s="97" t="n"/>
      <c r="E169" s="97" t="n"/>
      <c r="F169" s="97" t="n"/>
      <c r="G169" s="97" t="n"/>
      <c r="H169" s="97" t="n"/>
    </row>
    <row r="170" ht="15.75" customHeight="1" s="163">
      <c r="A170" s="97" t="n"/>
      <c r="B170" s="97" t="n"/>
      <c r="C170" s="97" t="n"/>
      <c r="D170" s="97" t="n"/>
      <c r="E170" s="97" t="n"/>
      <c r="F170" s="97" t="n"/>
      <c r="G170" s="97" t="n"/>
      <c r="H170" s="97" t="n"/>
    </row>
    <row r="171" ht="15.75" customHeight="1" s="163">
      <c r="A171" s="97" t="n"/>
      <c r="B171" s="97" t="n"/>
      <c r="C171" s="97" t="n"/>
      <c r="D171" s="97" t="n"/>
      <c r="E171" s="97" t="n"/>
      <c r="F171" s="97" t="n"/>
      <c r="G171" s="97" t="n"/>
      <c r="H171" s="97" t="n"/>
    </row>
    <row r="172" ht="15.75" customHeight="1" s="163">
      <c r="A172" s="97" t="n"/>
      <c r="B172" s="97" t="n"/>
      <c r="C172" s="97" t="n"/>
      <c r="D172" s="97" t="n"/>
      <c r="E172" s="97" t="n"/>
      <c r="F172" s="97" t="n"/>
      <c r="G172" s="97" t="n"/>
      <c r="H172" s="97" t="n"/>
    </row>
    <row r="173" ht="15.75" customHeight="1" s="163">
      <c r="A173" s="97" t="n"/>
      <c r="B173" s="97" t="n"/>
      <c r="C173" s="97" t="n"/>
      <c r="D173" s="97" t="n"/>
      <c r="E173" s="97" t="n"/>
      <c r="F173" s="97" t="n"/>
      <c r="G173" s="97" t="n"/>
      <c r="H173" s="97" t="n"/>
    </row>
    <row r="174" ht="15.75" customHeight="1" s="163">
      <c r="A174" s="97" t="n"/>
      <c r="B174" s="97" t="n"/>
      <c r="C174" s="97" t="n"/>
      <c r="D174" s="97" t="n"/>
      <c r="E174" s="97" t="n"/>
      <c r="F174" s="97" t="n"/>
      <c r="G174" s="97" t="n"/>
      <c r="H174" s="97" t="n"/>
    </row>
    <row r="175" ht="15.75" customHeight="1" s="163">
      <c r="A175" s="97" t="n"/>
      <c r="B175" s="97" t="n"/>
      <c r="C175" s="97" t="n"/>
      <c r="D175" s="97" t="n"/>
      <c r="E175" s="97" t="n"/>
      <c r="F175" s="97" t="n"/>
      <c r="G175" s="97" t="n"/>
      <c r="H175" s="97" t="n"/>
    </row>
    <row r="176" ht="15.75" customHeight="1" s="163">
      <c r="A176" s="97" t="n"/>
      <c r="B176" s="97" t="n"/>
      <c r="C176" s="97" t="n"/>
      <c r="D176" s="97" t="n"/>
      <c r="E176" s="97" t="n"/>
      <c r="F176" s="97" t="n"/>
      <c r="G176" s="97" t="n"/>
      <c r="H176" s="97" t="n"/>
    </row>
    <row r="177" ht="15.75" customHeight="1" s="163">
      <c r="A177" s="97" t="n"/>
      <c r="B177" s="97" t="n"/>
      <c r="C177" s="97" t="n"/>
      <c r="D177" s="97" t="n"/>
      <c r="E177" s="97" t="n"/>
      <c r="F177" s="97" t="n"/>
      <c r="G177" s="97" t="n"/>
      <c r="H177" s="97" t="n"/>
    </row>
    <row r="178" ht="15.75" customHeight="1" s="163">
      <c r="A178" s="97" t="n"/>
      <c r="B178" s="97" t="n"/>
      <c r="C178" s="97" t="n"/>
      <c r="D178" s="97" t="n"/>
      <c r="E178" s="97" t="n"/>
      <c r="F178" s="97" t="n"/>
      <c r="G178" s="97" t="n"/>
      <c r="H178" s="97" t="n"/>
    </row>
    <row r="179" ht="15.75" customHeight="1" s="163">
      <c r="A179" s="97" t="n"/>
      <c r="B179" s="97" t="n"/>
      <c r="C179" s="97" t="n"/>
      <c r="D179" s="97" t="n"/>
      <c r="E179" s="97" t="n"/>
      <c r="F179" s="97" t="n"/>
      <c r="G179" s="97" t="n"/>
      <c r="H179" s="97" t="n"/>
    </row>
    <row r="180" ht="15.75" customHeight="1" s="163">
      <c r="A180" s="97" t="n"/>
      <c r="B180" s="97" t="n"/>
      <c r="C180" s="97" t="n"/>
      <c r="D180" s="97" t="n"/>
      <c r="E180" s="97" t="n"/>
      <c r="F180" s="97" t="n"/>
      <c r="G180" s="97" t="n"/>
      <c r="H180" s="97" t="n"/>
    </row>
    <row r="181" ht="15.75" customHeight="1" s="163">
      <c r="A181" s="97" t="n"/>
      <c r="B181" s="97" t="n"/>
      <c r="C181" s="97" t="n"/>
      <c r="D181" s="97" t="n"/>
      <c r="E181" s="97" t="n"/>
      <c r="F181" s="97" t="n"/>
      <c r="G181" s="97" t="n"/>
      <c r="H181" s="97" t="n"/>
    </row>
    <row r="182" ht="15.75" customHeight="1" s="163">
      <c r="A182" s="97" t="n"/>
      <c r="B182" s="97" t="n"/>
      <c r="C182" s="97" t="n"/>
      <c r="D182" s="97" t="n"/>
      <c r="E182" s="97" t="n"/>
      <c r="F182" s="97" t="n"/>
      <c r="G182" s="97" t="n"/>
      <c r="H182" s="97" t="n"/>
    </row>
    <row r="183" ht="15.75" customHeight="1" s="163">
      <c r="A183" s="97" t="n"/>
      <c r="B183" s="97" t="n"/>
      <c r="C183" s="97" t="n"/>
      <c r="D183" s="97" t="n"/>
      <c r="E183" s="97" t="n"/>
      <c r="F183" s="97" t="n"/>
      <c r="G183" s="97" t="n"/>
      <c r="H183" s="97" t="n"/>
    </row>
    <row r="184" ht="15.75" customHeight="1" s="163">
      <c r="A184" s="97" t="n"/>
      <c r="B184" s="97" t="n"/>
      <c r="C184" s="97" t="n"/>
      <c r="D184" s="97" t="n"/>
      <c r="E184" s="97" t="n"/>
      <c r="F184" s="97" t="n"/>
      <c r="G184" s="97" t="n"/>
      <c r="H184" s="97" t="n"/>
    </row>
    <row r="185" ht="15.75" customHeight="1" s="163">
      <c r="A185" s="97" t="n"/>
      <c r="B185" s="97" t="n"/>
      <c r="C185" s="97" t="n"/>
      <c r="D185" s="97" t="n"/>
      <c r="E185" s="97" t="n"/>
      <c r="F185" s="97" t="n"/>
      <c r="G185" s="97" t="n"/>
      <c r="H185" s="97" t="n"/>
    </row>
    <row r="186" ht="15.75" customHeight="1" s="163">
      <c r="A186" s="97" t="n"/>
      <c r="B186" s="97" t="n"/>
      <c r="C186" s="97" t="n"/>
      <c r="D186" s="97" t="n"/>
      <c r="E186" s="97" t="n"/>
      <c r="F186" s="97" t="n"/>
      <c r="G186" s="97" t="n"/>
      <c r="H186" s="97" t="n"/>
    </row>
    <row r="187" ht="15.75" customHeight="1" s="163">
      <c r="A187" s="97" t="n"/>
      <c r="B187" s="97" t="n"/>
      <c r="C187" s="97" t="n"/>
      <c r="D187" s="97" t="n"/>
      <c r="E187" s="97" t="n"/>
      <c r="F187" s="97" t="n"/>
      <c r="G187" s="97" t="n"/>
      <c r="H187" s="97" t="n"/>
    </row>
    <row r="188" ht="15.75" customHeight="1" s="163">
      <c r="A188" s="97" t="n"/>
      <c r="B188" s="97" t="n"/>
      <c r="C188" s="97" t="n"/>
      <c r="D188" s="97" t="n"/>
      <c r="E188" s="97" t="n"/>
      <c r="F188" s="97" t="n"/>
      <c r="G188" s="97" t="n"/>
      <c r="H188" s="97" t="n"/>
    </row>
    <row r="189" ht="15.75" customHeight="1" s="163">
      <c r="A189" s="97" t="n"/>
      <c r="B189" s="97" t="n"/>
      <c r="C189" s="97" t="n"/>
      <c r="D189" s="97" t="n"/>
      <c r="E189" s="97" t="n"/>
      <c r="F189" s="97" t="n"/>
      <c r="G189" s="97" t="n"/>
      <c r="H189" s="97" t="n"/>
    </row>
    <row r="190" ht="15.75" customHeight="1" s="163">
      <c r="A190" s="97" t="n"/>
      <c r="B190" s="97" t="n"/>
      <c r="C190" s="97" t="n"/>
      <c r="D190" s="97" t="n"/>
      <c r="E190" s="97" t="n"/>
      <c r="F190" s="97" t="n"/>
      <c r="G190" s="97" t="n"/>
      <c r="H190" s="97" t="n"/>
    </row>
    <row r="191" ht="15.75" customHeight="1" s="163">
      <c r="A191" s="97" t="n"/>
      <c r="B191" s="97" t="n"/>
      <c r="C191" s="97" t="n"/>
      <c r="D191" s="97" t="n"/>
      <c r="E191" s="97" t="n"/>
      <c r="F191" s="97" t="n"/>
      <c r="G191" s="97" t="n"/>
      <c r="H191" s="97" t="n"/>
    </row>
    <row r="192" ht="15.75" customHeight="1" s="163">
      <c r="A192" s="97" t="n"/>
      <c r="B192" s="97" t="n"/>
      <c r="C192" s="97" t="n"/>
      <c r="D192" s="97" t="n"/>
      <c r="E192" s="97" t="n"/>
      <c r="F192" s="97" t="n"/>
      <c r="G192" s="97" t="n"/>
      <c r="H192" s="97" t="n"/>
    </row>
    <row r="193" ht="15.75" customHeight="1" s="163">
      <c r="A193" s="97" t="n"/>
      <c r="B193" s="97" t="n"/>
      <c r="C193" s="97" t="n"/>
      <c r="D193" s="97" t="n"/>
      <c r="E193" s="97" t="n"/>
      <c r="F193" s="97" t="n"/>
      <c r="G193" s="97" t="n"/>
      <c r="H193" s="97" t="n"/>
    </row>
    <row r="194" ht="15.75" customHeight="1" s="163">
      <c r="A194" s="97" t="n"/>
      <c r="B194" s="97" t="n"/>
      <c r="C194" s="97" t="n"/>
      <c r="D194" s="97" t="n"/>
      <c r="E194" s="97" t="n"/>
      <c r="F194" s="97" t="n"/>
      <c r="G194" s="97" t="n"/>
      <c r="H194" s="97" t="n"/>
    </row>
    <row r="195" ht="15.75" customHeight="1" s="163">
      <c r="A195" s="97" t="n"/>
      <c r="B195" s="97" t="n"/>
      <c r="C195" s="97" t="n"/>
      <c r="D195" s="97" t="n"/>
      <c r="E195" s="97" t="n"/>
      <c r="F195" s="97" t="n"/>
      <c r="G195" s="97" t="n"/>
      <c r="H195" s="97" t="n"/>
    </row>
    <row r="196" ht="15.75" customHeight="1" s="163">
      <c r="A196" s="97" t="n"/>
      <c r="B196" s="97" t="n"/>
      <c r="C196" s="97" t="n"/>
      <c r="D196" s="97" t="n"/>
      <c r="E196" s="97" t="n"/>
      <c r="F196" s="97" t="n"/>
      <c r="G196" s="97" t="n"/>
      <c r="H196" s="97" t="n"/>
    </row>
    <row r="197" ht="15.75" customHeight="1" s="163">
      <c r="A197" s="97" t="n"/>
      <c r="B197" s="97" t="n"/>
      <c r="C197" s="97" t="n"/>
      <c r="D197" s="97" t="n"/>
      <c r="E197" s="97" t="n"/>
      <c r="F197" s="97" t="n"/>
      <c r="G197" s="97" t="n"/>
      <c r="H197" s="97" t="n"/>
    </row>
    <row r="198" ht="15.75" customHeight="1" s="163">
      <c r="A198" s="97" t="n"/>
      <c r="B198" s="97" t="n"/>
      <c r="C198" s="97" t="n"/>
      <c r="D198" s="97" t="n"/>
      <c r="E198" s="97" t="n"/>
      <c r="F198" s="97" t="n"/>
      <c r="G198" s="97" t="n"/>
      <c r="H198" s="97" t="n"/>
    </row>
    <row r="199" ht="15.75" customHeight="1" s="163">
      <c r="A199" s="97" t="n"/>
      <c r="B199" s="97" t="n"/>
      <c r="C199" s="97" t="n"/>
      <c r="D199" s="97" t="n"/>
      <c r="E199" s="97" t="n"/>
      <c r="F199" s="97" t="n"/>
      <c r="G199" s="97" t="n"/>
      <c r="H199" s="97" t="n"/>
    </row>
    <row r="200" ht="15.75" customHeight="1" s="163">
      <c r="A200" s="97" t="n"/>
      <c r="B200" s="97" t="n"/>
      <c r="C200" s="97" t="n"/>
      <c r="D200" s="97" t="n"/>
      <c r="E200" s="97" t="n"/>
      <c r="F200" s="97" t="n"/>
      <c r="G200" s="97" t="n"/>
      <c r="H200" s="97" t="n"/>
    </row>
    <row r="201" ht="15.75" customHeight="1" s="163">
      <c r="A201" s="97" t="n"/>
      <c r="B201" s="97" t="n"/>
      <c r="C201" s="97" t="n"/>
      <c r="D201" s="97" t="n"/>
      <c r="E201" s="97" t="n"/>
      <c r="F201" s="97" t="n"/>
      <c r="G201" s="97" t="n"/>
      <c r="H201" s="97" t="n"/>
    </row>
    <row r="202" ht="15.75" customHeight="1" s="163">
      <c r="A202" s="97" t="n"/>
      <c r="B202" s="97" t="n"/>
      <c r="C202" s="97" t="n"/>
      <c r="D202" s="97" t="n"/>
      <c r="E202" s="97" t="n"/>
      <c r="F202" s="97" t="n"/>
      <c r="G202" s="97" t="n"/>
      <c r="H202" s="97" t="n"/>
    </row>
    <row r="203" ht="15.75" customHeight="1" s="163">
      <c r="A203" s="97" t="n"/>
      <c r="B203" s="97" t="n"/>
      <c r="C203" s="97" t="n"/>
      <c r="D203" s="97" t="n"/>
      <c r="E203" s="97" t="n"/>
      <c r="F203" s="97" t="n"/>
      <c r="G203" s="97" t="n"/>
      <c r="H203" s="97" t="n"/>
    </row>
    <row r="204" ht="15.75" customHeight="1" s="163">
      <c r="A204" s="97" t="n"/>
      <c r="B204" s="97" t="n"/>
      <c r="C204" s="97" t="n"/>
      <c r="D204" s="97" t="n"/>
      <c r="E204" s="97" t="n"/>
      <c r="F204" s="97" t="n"/>
      <c r="G204" s="97" t="n"/>
      <c r="H204" s="97" t="n"/>
    </row>
    <row r="205" ht="15.75" customHeight="1" s="163">
      <c r="A205" s="97" t="n"/>
      <c r="B205" s="97" t="n"/>
      <c r="C205" s="97" t="n"/>
      <c r="D205" s="97" t="n"/>
      <c r="E205" s="97" t="n"/>
      <c r="F205" s="97" t="n"/>
      <c r="G205" s="97" t="n"/>
      <c r="H205" s="97" t="n"/>
    </row>
    <row r="206" ht="15.75" customHeight="1" s="163">
      <c r="A206" s="97" t="n"/>
      <c r="B206" s="97" t="n"/>
      <c r="C206" s="97" t="n"/>
      <c r="D206" s="97" t="n"/>
      <c r="E206" s="97" t="n"/>
      <c r="F206" s="97" t="n"/>
      <c r="G206" s="97" t="n"/>
      <c r="H206" s="97" t="n"/>
    </row>
    <row r="207" ht="15.75" customHeight="1" s="163">
      <c r="A207" s="97" t="n"/>
      <c r="B207" s="97" t="n"/>
      <c r="C207" s="97" t="n"/>
      <c r="D207" s="97" t="n"/>
      <c r="E207" s="97" t="n"/>
      <c r="F207" s="97" t="n"/>
      <c r="G207" s="97" t="n"/>
      <c r="H207" s="97" t="n"/>
    </row>
    <row r="208" ht="15.75" customHeight="1" s="163">
      <c r="A208" s="97" t="n"/>
      <c r="B208" s="97" t="n"/>
      <c r="C208" s="97" t="n"/>
      <c r="D208" s="97" t="n"/>
      <c r="E208" s="97" t="n"/>
      <c r="F208" s="97" t="n"/>
      <c r="G208" s="97" t="n"/>
      <c r="H208" s="97" t="n"/>
    </row>
    <row r="209" ht="15.75" customHeight="1" s="163">
      <c r="A209" s="97" t="n"/>
      <c r="B209" s="97" t="n"/>
      <c r="C209" s="97" t="n"/>
      <c r="D209" s="97" t="n"/>
      <c r="E209" s="97" t="n"/>
      <c r="F209" s="97" t="n"/>
      <c r="G209" s="97" t="n"/>
      <c r="H209" s="97" t="n"/>
    </row>
    <row r="210" ht="15.75" customHeight="1" s="163">
      <c r="A210" s="97" t="n"/>
      <c r="B210" s="97" t="n"/>
      <c r="C210" s="97" t="n"/>
      <c r="D210" s="97" t="n"/>
      <c r="E210" s="97" t="n"/>
      <c r="F210" s="97" t="n"/>
      <c r="G210" s="97" t="n"/>
      <c r="H210" s="97" t="n"/>
    </row>
    <row r="211" ht="15.75" customHeight="1" s="163">
      <c r="A211" s="97" t="n"/>
      <c r="B211" s="97" t="n"/>
      <c r="C211" s="97" t="n"/>
      <c r="D211" s="97" t="n"/>
      <c r="E211" s="97" t="n"/>
      <c r="F211" s="97" t="n"/>
      <c r="G211" s="97" t="n"/>
      <c r="H211" s="97" t="n"/>
    </row>
    <row r="212" ht="15.75" customHeight="1" s="163">
      <c r="A212" s="97" t="n"/>
      <c r="B212" s="97" t="n"/>
      <c r="C212" s="97" t="n"/>
      <c r="D212" s="97" t="n"/>
      <c r="E212" s="97" t="n"/>
      <c r="F212" s="97" t="n"/>
      <c r="G212" s="97" t="n"/>
      <c r="H212" s="97" t="n"/>
    </row>
    <row r="213" ht="15.75" customHeight="1" s="163">
      <c r="A213" s="97" t="n"/>
      <c r="B213" s="97" t="n"/>
      <c r="C213" s="97" t="n"/>
      <c r="D213" s="97" t="n"/>
      <c r="E213" s="97" t="n"/>
      <c r="F213" s="97" t="n"/>
      <c r="G213" s="97" t="n"/>
      <c r="H213" s="97" t="n"/>
    </row>
    <row r="214" ht="15.75" customHeight="1" s="163">
      <c r="A214" s="97" t="n"/>
      <c r="B214" s="97" t="n"/>
      <c r="C214" s="97" t="n"/>
      <c r="D214" s="97" t="n"/>
      <c r="E214" s="97" t="n"/>
      <c r="F214" s="97" t="n"/>
      <c r="G214" s="97" t="n"/>
      <c r="H214" s="97" t="n"/>
    </row>
    <row r="215" ht="15.75" customHeight="1" s="163">
      <c r="A215" s="97" t="n"/>
      <c r="B215" s="97" t="n"/>
      <c r="C215" s="97" t="n"/>
      <c r="D215" s="97" t="n"/>
      <c r="E215" s="97" t="n"/>
      <c r="F215" s="97" t="n"/>
      <c r="G215" s="97" t="n"/>
      <c r="H215" s="97" t="n"/>
    </row>
    <row r="216" ht="15.75" customHeight="1" s="163">
      <c r="A216" s="97" t="n"/>
      <c r="B216" s="97" t="n"/>
      <c r="C216" s="97" t="n"/>
      <c r="D216" s="97" t="n"/>
      <c r="E216" s="97" t="n"/>
      <c r="F216" s="97" t="n"/>
      <c r="G216" s="97" t="n"/>
      <c r="H216" s="97" t="n"/>
    </row>
    <row r="217" ht="15.75" customHeight="1" s="163">
      <c r="A217" s="97" t="n"/>
      <c r="B217" s="97" t="n"/>
      <c r="C217" s="97" t="n"/>
      <c r="D217" s="97" t="n"/>
      <c r="E217" s="97" t="n"/>
      <c r="F217" s="97" t="n"/>
      <c r="G217" s="97" t="n"/>
      <c r="H217" s="97" t="n"/>
    </row>
    <row r="218" ht="15.75" customHeight="1" s="163">
      <c r="A218" s="97" t="n"/>
      <c r="B218" s="97" t="n"/>
      <c r="C218" s="97" t="n"/>
      <c r="D218" s="97" t="n"/>
      <c r="E218" s="97" t="n"/>
      <c r="F218" s="97" t="n"/>
      <c r="G218" s="97" t="n"/>
      <c r="H218" s="97" t="n"/>
    </row>
    <row r="219" ht="15.75" customHeight="1" s="163">
      <c r="A219" s="97" t="n"/>
      <c r="B219" s="97" t="n"/>
      <c r="C219" s="97" t="n"/>
      <c r="D219" s="97" t="n"/>
      <c r="E219" s="97" t="n"/>
      <c r="F219" s="97" t="n"/>
      <c r="G219" s="97" t="n"/>
      <c r="H219" s="97" t="n"/>
    </row>
    <row r="220" ht="15.75" customHeight="1" s="163">
      <c r="A220" s="97" t="n"/>
      <c r="B220" s="97" t="n"/>
      <c r="C220" s="97" t="n"/>
      <c r="D220" s="97" t="n"/>
      <c r="E220" s="97" t="n"/>
      <c r="F220" s="97" t="n"/>
      <c r="G220" s="97" t="n"/>
      <c r="H220" s="97" t="n"/>
    </row>
    <row r="221" ht="15.75" customHeight="1" s="163">
      <c r="A221" s="97" t="n"/>
      <c r="B221" s="97" t="n"/>
      <c r="C221" s="97" t="n"/>
      <c r="D221" s="97" t="n"/>
      <c r="E221" s="97" t="n"/>
      <c r="F221" s="97" t="n"/>
      <c r="G221" s="97" t="n"/>
      <c r="H221" s="97" t="n"/>
    </row>
    <row r="222" ht="15.75" customHeight="1" s="163">
      <c r="A222" s="97" t="n"/>
      <c r="B222" s="97" t="n"/>
      <c r="C222" s="97" t="n"/>
      <c r="D222" s="97" t="n"/>
      <c r="E222" s="97" t="n"/>
      <c r="F222" s="97" t="n"/>
      <c r="G222" s="97" t="n"/>
      <c r="H222" s="97" t="n"/>
    </row>
    <row r="223" ht="15.75" customHeight="1" s="163">
      <c r="A223" s="97" t="n"/>
      <c r="B223" s="97" t="n"/>
      <c r="C223" s="97" t="n"/>
      <c r="D223" s="97" t="n"/>
      <c r="E223" s="97" t="n"/>
      <c r="F223" s="97" t="n"/>
      <c r="G223" s="97" t="n"/>
      <c r="H223" s="97" t="n"/>
    </row>
    <row r="224" ht="15.75" customHeight="1" s="163">
      <c r="A224" s="97" t="n"/>
      <c r="B224" s="97" t="n"/>
      <c r="C224" s="97" t="n"/>
      <c r="D224" s="97" t="n"/>
      <c r="E224" s="97" t="n"/>
      <c r="F224" s="97" t="n"/>
      <c r="G224" s="97" t="n"/>
      <c r="H224" s="97" t="n"/>
    </row>
    <row r="225" ht="15.75" customHeight="1" s="163">
      <c r="A225" s="97" t="n"/>
      <c r="B225" s="97" t="n"/>
      <c r="C225" s="97" t="n"/>
      <c r="D225" s="97" t="n"/>
      <c r="E225" s="97" t="n"/>
      <c r="F225" s="97" t="n"/>
      <c r="G225" s="97" t="n"/>
      <c r="H225" s="97" t="n"/>
    </row>
    <row r="226" ht="15.75" customHeight="1" s="163">
      <c r="A226" s="97" t="n"/>
      <c r="B226" s="97" t="n"/>
      <c r="C226" s="97" t="n"/>
      <c r="D226" s="97" t="n"/>
      <c r="E226" s="97" t="n"/>
      <c r="F226" s="97" t="n"/>
      <c r="G226" s="97" t="n"/>
      <c r="H226" s="97" t="n"/>
    </row>
    <row r="227" ht="15.75" customHeight="1" s="163">
      <c r="A227" s="97" t="n"/>
      <c r="B227" s="97" t="n"/>
      <c r="C227" s="97" t="n"/>
      <c r="D227" s="97" t="n"/>
      <c r="E227" s="97" t="n"/>
      <c r="F227" s="97" t="n"/>
      <c r="G227" s="97" t="n"/>
      <c r="H227" s="97" t="n"/>
    </row>
    <row r="228" ht="15.75" customHeight="1" s="163">
      <c r="A228" s="97" t="n"/>
      <c r="B228" s="97" t="n"/>
      <c r="C228" s="97" t="n"/>
      <c r="D228" s="97" t="n"/>
      <c r="E228" s="97" t="n"/>
      <c r="F228" s="97" t="n"/>
      <c r="G228" s="97" t="n"/>
      <c r="H228" s="97" t="n"/>
    </row>
    <row r="229" ht="15.75" customHeight="1" s="163">
      <c r="A229" s="97" t="n"/>
      <c r="B229" s="97" t="n"/>
      <c r="C229" s="97" t="n"/>
      <c r="D229" s="97" t="n"/>
      <c r="E229" s="97" t="n"/>
      <c r="F229" s="97" t="n"/>
      <c r="G229" s="97" t="n"/>
      <c r="H229" s="97" t="n"/>
    </row>
    <row r="230" ht="15.75" customHeight="1" s="163">
      <c r="A230" s="97" t="n"/>
      <c r="B230" s="97" t="n"/>
      <c r="C230" s="97" t="n"/>
      <c r="D230" s="97" t="n"/>
      <c r="E230" s="97" t="n"/>
      <c r="F230" s="97" t="n"/>
      <c r="G230" s="97" t="n"/>
      <c r="H230" s="97" t="n"/>
    </row>
    <row r="231" ht="15.75" customHeight="1" s="163">
      <c r="A231" s="97" t="n"/>
      <c r="B231" s="97" t="n"/>
      <c r="C231" s="97" t="n"/>
      <c r="D231" s="97" t="n"/>
      <c r="E231" s="97" t="n"/>
      <c r="F231" s="97" t="n"/>
      <c r="G231" s="97" t="n"/>
      <c r="H231" s="97" t="n"/>
    </row>
    <row r="232" ht="15.75" customHeight="1" s="163">
      <c r="A232" s="97" t="n"/>
      <c r="B232" s="97" t="n"/>
      <c r="C232" s="97" t="n"/>
      <c r="D232" s="97" t="n"/>
      <c r="E232" s="97" t="n"/>
      <c r="F232" s="97" t="n"/>
      <c r="G232" s="97" t="n"/>
      <c r="H232" s="97" t="n"/>
    </row>
    <row r="233" ht="15.75" customHeight="1" s="163">
      <c r="A233" s="97" t="n"/>
      <c r="B233" s="97" t="n"/>
      <c r="C233" s="97" t="n"/>
      <c r="D233" s="97" t="n"/>
      <c r="E233" s="97" t="n"/>
      <c r="F233" s="97" t="n"/>
      <c r="G233" s="97" t="n"/>
      <c r="H233" s="97" t="n"/>
    </row>
    <row r="234" ht="15.75" customHeight="1" s="163">
      <c r="A234" s="97" t="n"/>
      <c r="B234" s="97" t="n"/>
      <c r="C234" s="97" t="n"/>
      <c r="D234" s="97" t="n"/>
      <c r="E234" s="97" t="n"/>
      <c r="F234" s="97" t="n"/>
      <c r="G234" s="97" t="n"/>
      <c r="H234" s="97" t="n"/>
    </row>
    <row r="235" ht="15.75" customHeight="1" s="163">
      <c r="A235" s="97" t="n"/>
      <c r="B235" s="97" t="n"/>
      <c r="C235" s="97" t="n"/>
      <c r="D235" s="97" t="n"/>
      <c r="E235" s="97" t="n"/>
      <c r="F235" s="97" t="n"/>
      <c r="G235" s="97" t="n"/>
      <c r="H235" s="97" t="n"/>
    </row>
    <row r="236" ht="15.75" customHeight="1" s="163">
      <c r="A236" s="97" t="n"/>
      <c r="B236" s="97" t="n"/>
      <c r="C236" s="97" t="n"/>
      <c r="D236" s="97" t="n"/>
      <c r="E236" s="97" t="n"/>
      <c r="F236" s="97" t="n"/>
      <c r="G236" s="97" t="n"/>
      <c r="H236" s="97" t="n"/>
    </row>
    <row r="237" ht="15.75" customHeight="1" s="163">
      <c r="A237" s="97" t="n"/>
      <c r="B237" s="97" t="n"/>
      <c r="C237" s="97" t="n"/>
      <c r="D237" s="97" t="n"/>
      <c r="E237" s="97" t="n"/>
      <c r="F237" s="97" t="n"/>
      <c r="G237" s="97" t="n"/>
      <c r="H237" s="97" t="n"/>
    </row>
    <row r="238" ht="15.75" customHeight="1" s="163">
      <c r="A238" s="97" t="n"/>
      <c r="B238" s="97" t="n"/>
      <c r="C238" s="97" t="n"/>
      <c r="D238" s="97" t="n"/>
      <c r="E238" s="97" t="n"/>
      <c r="F238" s="97" t="n"/>
      <c r="G238" s="97" t="n"/>
      <c r="H238" s="97" t="n"/>
    </row>
    <row r="239" ht="15.75" customHeight="1" s="163">
      <c r="A239" s="97" t="n"/>
      <c r="B239" s="97" t="n"/>
      <c r="C239" s="97" t="n"/>
      <c r="D239" s="97" t="n"/>
      <c r="E239" s="97" t="n"/>
      <c r="F239" s="97" t="n"/>
      <c r="G239" s="97" t="n"/>
      <c r="H239" s="97" t="n"/>
    </row>
    <row r="240" ht="15.75" customHeight="1" s="163">
      <c r="A240" s="97" t="n"/>
      <c r="B240" s="97" t="n"/>
      <c r="C240" s="97" t="n"/>
      <c r="D240" s="97" t="n"/>
      <c r="E240" s="97" t="n"/>
      <c r="F240" s="97" t="n"/>
      <c r="G240" s="97" t="n"/>
      <c r="H240" s="97" t="n"/>
    </row>
    <row r="241" ht="15.75" customHeight="1" s="163">
      <c r="A241" s="97" t="n"/>
      <c r="B241" s="97" t="n"/>
      <c r="C241" s="97" t="n"/>
      <c r="D241" s="97" t="n"/>
      <c r="E241" s="97" t="n"/>
      <c r="F241" s="97" t="n"/>
      <c r="G241" s="97" t="n"/>
      <c r="H241" s="97" t="n"/>
    </row>
    <row r="242" ht="15.75" customHeight="1" s="163">
      <c r="A242" s="97" t="n"/>
      <c r="B242" s="97" t="n"/>
      <c r="C242" s="97" t="n"/>
      <c r="D242" s="97" t="n"/>
      <c r="E242" s="97" t="n"/>
      <c r="F242" s="97" t="n"/>
      <c r="G242" s="97" t="n"/>
      <c r="H242" s="97" t="n"/>
    </row>
    <row r="243" ht="15.75" customHeight="1" s="163">
      <c r="A243" s="97" t="n"/>
      <c r="B243" s="97" t="n"/>
      <c r="C243" s="97" t="n"/>
      <c r="D243" s="97" t="n"/>
      <c r="E243" s="97" t="n"/>
      <c r="F243" s="97" t="n"/>
      <c r="G243" s="97" t="n"/>
      <c r="H243" s="97" t="n"/>
    </row>
    <row r="244" ht="15.75" customHeight="1" s="163">
      <c r="A244" s="97" t="n"/>
      <c r="B244" s="97" t="n"/>
      <c r="C244" s="97" t="n"/>
      <c r="D244" s="97" t="n"/>
      <c r="E244" s="97" t="n"/>
      <c r="F244" s="97" t="n"/>
      <c r="G244" s="97" t="n"/>
      <c r="H244" s="97" t="n"/>
    </row>
    <row r="245" ht="15.75" customHeight="1" s="163">
      <c r="A245" s="97" t="n"/>
      <c r="B245" s="97" t="n"/>
      <c r="C245" s="97" t="n"/>
      <c r="D245" s="97" t="n"/>
      <c r="E245" s="97" t="n"/>
      <c r="F245" s="97" t="n"/>
      <c r="G245" s="97" t="n"/>
      <c r="H245" s="97" t="n"/>
    </row>
    <row r="246" ht="15.75" customHeight="1" s="163">
      <c r="A246" s="97" t="n"/>
      <c r="B246" s="97" t="n"/>
      <c r="C246" s="97" t="n"/>
      <c r="D246" s="97" t="n"/>
      <c r="E246" s="97" t="n"/>
      <c r="F246" s="97" t="n"/>
      <c r="G246" s="97" t="n"/>
      <c r="H246" s="97" t="n"/>
    </row>
    <row r="247" ht="15.75" customHeight="1" s="163">
      <c r="A247" s="97" t="n"/>
      <c r="B247" s="97" t="n"/>
      <c r="C247" s="97" t="n"/>
      <c r="D247" s="97" t="n"/>
      <c r="E247" s="97" t="n"/>
      <c r="F247" s="97" t="n"/>
      <c r="G247" s="97" t="n"/>
      <c r="H247" s="97" t="n"/>
    </row>
    <row r="248" ht="15.75" customHeight="1" s="163">
      <c r="A248" s="97" t="n"/>
      <c r="B248" s="97" t="n"/>
      <c r="C248" s="97" t="n"/>
      <c r="D248" s="97" t="n"/>
      <c r="E248" s="97" t="n"/>
      <c r="F248" s="97" t="n"/>
      <c r="G248" s="97" t="n"/>
      <c r="H248" s="97" t="n"/>
    </row>
    <row r="249" ht="15.75" customHeight="1" s="163">
      <c r="A249" s="97" t="n"/>
      <c r="B249" s="97" t="n"/>
      <c r="C249" s="97" t="n"/>
      <c r="D249" s="97" t="n"/>
      <c r="E249" s="97" t="n"/>
      <c r="F249" s="97" t="n"/>
      <c r="G249" s="97" t="n"/>
      <c r="H249" s="97" t="n"/>
    </row>
    <row r="250" ht="15.75" customHeight="1" s="163">
      <c r="A250" s="97" t="n"/>
      <c r="B250" s="97" t="n"/>
      <c r="C250" s="97" t="n"/>
      <c r="D250" s="97" t="n"/>
      <c r="E250" s="97" t="n"/>
      <c r="F250" s="97" t="n"/>
      <c r="G250" s="97" t="n"/>
      <c r="H250" s="97" t="n"/>
    </row>
    <row r="251" ht="15.75" customHeight="1" s="163">
      <c r="A251" s="97" t="n"/>
      <c r="B251" s="97" t="n"/>
      <c r="C251" s="97" t="n"/>
      <c r="D251" s="97" t="n"/>
      <c r="E251" s="97" t="n"/>
      <c r="F251" s="97" t="n"/>
      <c r="G251" s="97" t="n"/>
      <c r="H251" s="97" t="n"/>
    </row>
    <row r="252" ht="15.75" customHeight="1" s="163">
      <c r="A252" s="97" t="n"/>
      <c r="B252" s="97" t="n"/>
      <c r="C252" s="97" t="n"/>
      <c r="D252" s="97" t="n"/>
      <c r="E252" s="97" t="n"/>
      <c r="F252" s="97" t="n"/>
      <c r="G252" s="97" t="n"/>
      <c r="H252" s="97" t="n"/>
    </row>
    <row r="253" ht="15.75" customHeight="1" s="163">
      <c r="A253" s="97" t="n"/>
      <c r="B253" s="97" t="n"/>
      <c r="C253" s="97" t="n"/>
      <c r="D253" s="97" t="n"/>
      <c r="E253" s="97" t="n"/>
      <c r="F253" s="97" t="n"/>
      <c r="G253" s="97" t="n"/>
      <c r="H253" s="97" t="n"/>
    </row>
    <row r="254" ht="15.75" customHeight="1" s="163">
      <c r="A254" s="97" t="n"/>
      <c r="B254" s="97" t="n"/>
      <c r="C254" s="97" t="n"/>
      <c r="D254" s="97" t="n"/>
      <c r="E254" s="97" t="n"/>
      <c r="F254" s="97" t="n"/>
      <c r="G254" s="97" t="n"/>
      <c r="H254" s="97" t="n"/>
    </row>
    <row r="255" ht="15.75" customHeight="1" s="163">
      <c r="A255" s="97" t="n"/>
      <c r="B255" s="97" t="n"/>
      <c r="C255" s="97" t="n"/>
      <c r="D255" s="97" t="n"/>
      <c r="E255" s="97" t="n"/>
      <c r="F255" s="97" t="n"/>
      <c r="G255" s="97" t="n"/>
      <c r="H255" s="97" t="n"/>
    </row>
    <row r="256" ht="15.75" customHeight="1" s="163">
      <c r="A256" s="97" t="n"/>
      <c r="B256" s="97" t="n"/>
      <c r="C256" s="97" t="n"/>
      <c r="D256" s="97" t="n"/>
      <c r="E256" s="97" t="n"/>
      <c r="F256" s="97" t="n"/>
      <c r="G256" s="97" t="n"/>
      <c r="H256" s="97" t="n"/>
    </row>
    <row r="257" ht="15.75" customHeight="1" s="163">
      <c r="A257" s="97" t="n"/>
      <c r="B257" s="97" t="n"/>
      <c r="C257" s="97" t="n"/>
      <c r="D257" s="97" t="n"/>
      <c r="E257" s="97" t="n"/>
      <c r="F257" s="97" t="n"/>
      <c r="G257" s="97" t="n"/>
      <c r="H257" s="97" t="n"/>
    </row>
    <row r="258" ht="15.75" customHeight="1" s="163">
      <c r="A258" s="97" t="n"/>
      <c r="B258" s="97" t="n"/>
      <c r="C258" s="97" t="n"/>
      <c r="D258" s="97" t="n"/>
      <c r="E258" s="97" t="n"/>
      <c r="F258" s="97" t="n"/>
      <c r="G258" s="97" t="n"/>
      <c r="H258" s="97" t="n"/>
    </row>
    <row r="259" ht="15.75" customHeight="1" s="163">
      <c r="A259" s="97" t="n"/>
      <c r="B259" s="97" t="n"/>
      <c r="C259" s="97" t="n"/>
      <c r="D259" s="97" t="n"/>
      <c r="E259" s="97" t="n"/>
      <c r="F259" s="97" t="n"/>
      <c r="G259" s="97" t="n"/>
      <c r="H259" s="97" t="n"/>
    </row>
    <row r="260" ht="15.75" customHeight="1" s="163">
      <c r="A260" s="97" t="n"/>
      <c r="B260" s="97" t="n"/>
      <c r="C260" s="97" t="n"/>
      <c r="D260" s="97" t="n"/>
      <c r="E260" s="97" t="n"/>
      <c r="F260" s="97" t="n"/>
      <c r="G260" s="97" t="n"/>
      <c r="H260" s="97" t="n"/>
    </row>
    <row r="261" ht="15.75" customHeight="1" s="163">
      <c r="A261" s="97" t="n"/>
      <c r="B261" s="97" t="n"/>
      <c r="C261" s="97" t="n"/>
      <c r="D261" s="97" t="n"/>
      <c r="E261" s="97" t="n"/>
      <c r="F261" s="97" t="n"/>
      <c r="G261" s="97" t="n"/>
      <c r="H261" s="97" t="n"/>
    </row>
    <row r="262" ht="15.75" customHeight="1" s="163">
      <c r="A262" s="97" t="n"/>
      <c r="B262" s="97" t="n"/>
      <c r="C262" s="97" t="n"/>
      <c r="D262" s="97" t="n"/>
      <c r="E262" s="97" t="n"/>
      <c r="F262" s="97" t="n"/>
      <c r="G262" s="97" t="n"/>
      <c r="H262" s="97" t="n"/>
    </row>
    <row r="263" ht="15.75" customHeight="1" s="163">
      <c r="A263" s="97" t="n"/>
      <c r="B263" s="97" t="n"/>
      <c r="C263" s="97" t="n"/>
      <c r="D263" s="97" t="n"/>
      <c r="E263" s="97" t="n"/>
      <c r="F263" s="97" t="n"/>
      <c r="G263" s="97" t="n"/>
      <c r="H263" s="97" t="n"/>
    </row>
    <row r="264" ht="15.75" customHeight="1" s="163">
      <c r="A264" s="97" t="n"/>
      <c r="B264" s="97" t="n"/>
      <c r="C264" s="97" t="n"/>
      <c r="D264" s="97" t="n"/>
      <c r="E264" s="97" t="n"/>
      <c r="F264" s="97" t="n"/>
      <c r="G264" s="97" t="n"/>
      <c r="H264" s="97" t="n"/>
    </row>
    <row r="265" ht="15.75" customHeight="1" s="163">
      <c r="A265" s="97" t="n"/>
      <c r="B265" s="97" t="n"/>
      <c r="C265" s="97" t="n"/>
      <c r="D265" s="97" t="n"/>
      <c r="E265" s="97" t="n"/>
      <c r="F265" s="97" t="n"/>
      <c r="G265" s="97" t="n"/>
      <c r="H265" s="97" t="n"/>
    </row>
    <row r="266" ht="15.75" customHeight="1" s="163">
      <c r="A266" s="97" t="n"/>
      <c r="B266" s="97" t="n"/>
      <c r="C266" s="97" t="n"/>
      <c r="D266" s="97" t="n"/>
      <c r="E266" s="97" t="n"/>
      <c r="F266" s="97" t="n"/>
      <c r="G266" s="97" t="n"/>
      <c r="H266" s="97" t="n"/>
    </row>
    <row r="267" ht="15.75" customHeight="1" s="163">
      <c r="A267" s="97" t="n"/>
      <c r="B267" s="97" t="n"/>
      <c r="C267" s="97" t="n"/>
      <c r="D267" s="97" t="n"/>
      <c r="E267" s="97" t="n"/>
      <c r="F267" s="97" t="n"/>
      <c r="G267" s="97" t="n"/>
      <c r="H267" s="97" t="n"/>
    </row>
    <row r="268" ht="15.75" customHeight="1" s="163">
      <c r="A268" s="97" t="n"/>
      <c r="B268" s="97" t="n"/>
      <c r="C268" s="97" t="n"/>
      <c r="D268" s="97" t="n"/>
      <c r="E268" s="97" t="n"/>
      <c r="F268" s="97" t="n"/>
      <c r="G268" s="97" t="n"/>
      <c r="H268" s="97" t="n"/>
    </row>
    <row r="269" ht="15.75" customHeight="1" s="163">
      <c r="A269" s="97" t="n"/>
      <c r="B269" s="97" t="n"/>
      <c r="C269" s="97" t="n"/>
      <c r="D269" s="97" t="n"/>
      <c r="E269" s="97" t="n"/>
      <c r="F269" s="97" t="n"/>
      <c r="G269" s="97" t="n"/>
      <c r="H269" s="97" t="n"/>
    </row>
    <row r="270" ht="15.75" customHeight="1" s="163">
      <c r="A270" s="97" t="n"/>
      <c r="B270" s="97" t="n"/>
      <c r="C270" s="97" t="n"/>
      <c r="D270" s="97" t="n"/>
      <c r="E270" s="97" t="n"/>
      <c r="F270" s="97" t="n"/>
      <c r="G270" s="97" t="n"/>
      <c r="H270" s="97" t="n"/>
    </row>
    <row r="271" ht="15.75" customHeight="1" s="163">
      <c r="A271" s="97" t="n"/>
      <c r="B271" s="97" t="n"/>
      <c r="C271" s="97" t="n"/>
      <c r="D271" s="97" t="n"/>
      <c r="E271" s="97" t="n"/>
      <c r="F271" s="97" t="n"/>
      <c r="G271" s="97" t="n"/>
      <c r="H271" s="97" t="n"/>
    </row>
    <row r="272" ht="15.75" customHeight="1" s="163">
      <c r="A272" s="97" t="n"/>
      <c r="B272" s="97" t="n"/>
      <c r="C272" s="97" t="n"/>
      <c r="D272" s="97" t="n"/>
      <c r="E272" s="97" t="n"/>
      <c r="F272" s="97" t="n"/>
      <c r="G272" s="97" t="n"/>
      <c r="H272" s="97" t="n"/>
    </row>
    <row r="273" ht="15.75" customHeight="1" s="163">
      <c r="A273" s="97" t="n"/>
      <c r="B273" s="97" t="n"/>
      <c r="C273" s="97" t="n"/>
      <c r="D273" s="97" t="n"/>
      <c r="E273" s="97" t="n"/>
      <c r="F273" s="97" t="n"/>
      <c r="G273" s="97" t="n"/>
      <c r="H273" s="97" t="n"/>
    </row>
    <row r="274" ht="15.75" customHeight="1" s="163">
      <c r="A274" s="97" t="n"/>
      <c r="B274" s="97" t="n"/>
      <c r="C274" s="97" t="n"/>
      <c r="D274" s="97" t="n"/>
      <c r="E274" s="97" t="n"/>
      <c r="F274" s="97" t="n"/>
      <c r="G274" s="97" t="n"/>
      <c r="H274" s="97" t="n"/>
    </row>
    <row r="275" ht="15.75" customHeight="1" s="163">
      <c r="A275" s="97" t="n"/>
      <c r="B275" s="97" t="n"/>
      <c r="C275" s="97" t="n"/>
      <c r="D275" s="97" t="n"/>
      <c r="E275" s="97" t="n"/>
      <c r="F275" s="97" t="n"/>
      <c r="G275" s="97" t="n"/>
      <c r="H275" s="97" t="n"/>
    </row>
    <row r="276" ht="15.75" customHeight="1" s="163">
      <c r="A276" s="97" t="n"/>
      <c r="B276" s="97" t="n"/>
      <c r="C276" s="97" t="n"/>
      <c r="D276" s="97" t="n"/>
      <c r="E276" s="97" t="n"/>
      <c r="F276" s="97" t="n"/>
      <c r="G276" s="97" t="n"/>
      <c r="H276" s="97" t="n"/>
    </row>
    <row r="277" ht="15.75" customHeight="1" s="163">
      <c r="A277" s="97" t="n"/>
      <c r="B277" s="97" t="n"/>
      <c r="C277" s="97" t="n"/>
      <c r="D277" s="97" t="n"/>
      <c r="E277" s="97" t="n"/>
      <c r="F277" s="97" t="n"/>
      <c r="G277" s="97" t="n"/>
      <c r="H277" s="97" t="n"/>
    </row>
    <row r="278" ht="15.75" customHeight="1" s="163">
      <c r="A278" s="97" t="n"/>
      <c r="B278" s="97" t="n"/>
      <c r="C278" s="97" t="n"/>
      <c r="D278" s="97" t="n"/>
      <c r="E278" s="97" t="n"/>
      <c r="F278" s="97" t="n"/>
      <c r="G278" s="97" t="n"/>
      <c r="H278" s="97" t="n"/>
    </row>
    <row r="279" ht="15.75" customHeight="1" s="163">
      <c r="A279" s="97" t="n"/>
      <c r="B279" s="97" t="n"/>
      <c r="C279" s="97" t="n"/>
      <c r="D279" s="97" t="n"/>
      <c r="E279" s="97" t="n"/>
      <c r="F279" s="97" t="n"/>
      <c r="G279" s="97" t="n"/>
      <c r="H279" s="97" t="n"/>
    </row>
    <row r="280" ht="15.75" customHeight="1" s="163">
      <c r="A280" s="97" t="n"/>
      <c r="B280" s="97" t="n"/>
      <c r="C280" s="97" t="n"/>
      <c r="D280" s="97" t="n"/>
      <c r="E280" s="97" t="n"/>
      <c r="F280" s="97" t="n"/>
      <c r="G280" s="97" t="n"/>
      <c r="H280" s="97" t="n"/>
    </row>
    <row r="281" ht="15.75" customHeight="1" s="163">
      <c r="A281" s="97" t="n"/>
      <c r="B281" s="97" t="n"/>
      <c r="C281" s="97" t="n"/>
      <c r="D281" s="97" t="n"/>
      <c r="E281" s="97" t="n"/>
      <c r="F281" s="97" t="n"/>
      <c r="G281" s="97" t="n"/>
      <c r="H281" s="97" t="n"/>
    </row>
    <row r="282" ht="15.75" customHeight="1" s="163">
      <c r="A282" s="97" t="n"/>
      <c r="B282" s="97" t="n"/>
      <c r="C282" s="97" t="n"/>
      <c r="D282" s="97" t="n"/>
      <c r="E282" s="97" t="n"/>
      <c r="F282" s="97" t="n"/>
      <c r="G282" s="97" t="n"/>
      <c r="H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  <c r="G283" s="97" t="n"/>
      <c r="H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  <c r="G284" s="97" t="n"/>
      <c r="H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  <c r="G285" s="97" t="n"/>
      <c r="H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  <c r="G286" s="97" t="n"/>
      <c r="H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  <c r="G287" s="97" t="n"/>
      <c r="H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  <c r="G288" s="97" t="n"/>
      <c r="H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  <c r="G289" s="97" t="n"/>
      <c r="H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  <c r="G290" s="97" t="n"/>
      <c r="H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  <c r="G291" s="97" t="n"/>
      <c r="H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  <c r="G292" s="97" t="n"/>
      <c r="H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  <c r="G293" s="97" t="n"/>
      <c r="H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  <c r="G294" s="97" t="n"/>
      <c r="H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  <c r="G295" s="97" t="n"/>
      <c r="H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  <c r="G296" s="97" t="n"/>
      <c r="H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  <c r="G297" s="97" t="n"/>
      <c r="H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  <c r="G298" s="97" t="n"/>
      <c r="H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  <c r="G299" s="97" t="n"/>
      <c r="H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  <c r="G300" s="97" t="n"/>
      <c r="H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  <c r="G301" s="97" t="n"/>
      <c r="H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  <c r="G302" s="97" t="n"/>
      <c r="H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  <c r="G303" s="97" t="n"/>
      <c r="H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  <c r="G304" s="97" t="n"/>
      <c r="H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  <c r="G305" s="97" t="n"/>
      <c r="H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  <c r="G306" s="97" t="n"/>
      <c r="H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  <c r="G307" s="97" t="n"/>
      <c r="H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  <c r="G308" s="97" t="n"/>
      <c r="H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  <c r="G309" s="97" t="n"/>
      <c r="H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  <c r="G310" s="97" t="n"/>
      <c r="H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  <c r="G311" s="97" t="n"/>
      <c r="H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  <c r="G312" s="97" t="n"/>
      <c r="H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  <c r="G313" s="97" t="n"/>
      <c r="H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  <c r="G314" s="97" t="n"/>
      <c r="H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  <c r="G315" s="97" t="n"/>
      <c r="H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  <c r="G316" s="97" t="n"/>
      <c r="H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  <c r="G317" s="97" t="n"/>
      <c r="H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  <c r="G318" s="97" t="n"/>
      <c r="H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  <c r="G319" s="97" t="n"/>
      <c r="H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  <c r="G320" s="97" t="n"/>
      <c r="H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  <c r="G321" s="97" t="n"/>
      <c r="H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  <c r="G322" s="97" t="n"/>
      <c r="H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  <c r="G323" s="97" t="n"/>
      <c r="H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  <c r="G324" s="97" t="n"/>
      <c r="H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  <c r="G325" s="97" t="n"/>
      <c r="H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  <c r="G326" s="97" t="n"/>
      <c r="H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  <c r="G327" s="97" t="n"/>
      <c r="H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  <c r="G328" s="97" t="n"/>
      <c r="H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  <c r="G329" s="97" t="n"/>
      <c r="H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  <c r="G330" s="97" t="n"/>
      <c r="H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  <c r="G331" s="97" t="n"/>
      <c r="H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  <c r="G332" s="97" t="n"/>
      <c r="H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  <c r="G333" s="97" t="n"/>
      <c r="H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  <c r="G334" s="97" t="n"/>
      <c r="H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  <c r="G335" s="97" t="n"/>
      <c r="H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  <c r="G336" s="97" t="n"/>
      <c r="H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  <c r="G337" s="97" t="n"/>
      <c r="H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  <c r="G338" s="97" t="n"/>
      <c r="H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  <c r="G339" s="97" t="n"/>
      <c r="H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  <c r="G340" s="97" t="n"/>
      <c r="H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  <c r="G341" s="97" t="n"/>
      <c r="H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  <c r="G342" s="97" t="n"/>
      <c r="H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  <c r="G343" s="97" t="n"/>
      <c r="H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  <c r="G344" s="97" t="n"/>
      <c r="H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  <c r="G345" s="97" t="n"/>
      <c r="H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  <c r="G346" s="97" t="n"/>
      <c r="H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  <c r="G347" s="97" t="n"/>
      <c r="H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  <c r="G348" s="97" t="n"/>
      <c r="H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  <c r="G349" s="97" t="n"/>
      <c r="H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  <c r="G350" s="97" t="n"/>
      <c r="H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  <c r="G351" s="97" t="n"/>
      <c r="H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  <c r="G352" s="97" t="n"/>
      <c r="H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  <c r="G353" s="97" t="n"/>
      <c r="H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  <c r="G354" s="97" t="n"/>
      <c r="H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  <c r="G355" s="97" t="n"/>
      <c r="H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  <c r="G356" s="97" t="n"/>
      <c r="H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  <c r="G357" s="97" t="n"/>
      <c r="H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  <c r="G358" s="97" t="n"/>
      <c r="H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  <c r="G359" s="97" t="n"/>
      <c r="H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  <c r="G360" s="97" t="n"/>
      <c r="H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  <c r="G361" s="97" t="n"/>
      <c r="H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  <c r="G362" s="97" t="n"/>
      <c r="H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  <c r="G363" s="97" t="n"/>
      <c r="H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  <c r="G364" s="97" t="n"/>
      <c r="H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  <c r="G365" s="97" t="n"/>
      <c r="H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  <c r="G366" s="97" t="n"/>
      <c r="H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  <c r="G367" s="97" t="n"/>
      <c r="H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  <c r="G368" s="97" t="n"/>
      <c r="H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  <c r="G369" s="97" t="n"/>
      <c r="H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  <c r="G370" s="97" t="n"/>
      <c r="H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  <c r="G371" s="97" t="n"/>
      <c r="H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  <c r="G372" s="97" t="n"/>
      <c r="H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  <c r="G373" s="97" t="n"/>
      <c r="H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  <c r="G374" s="97" t="n"/>
      <c r="H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  <c r="G375" s="97" t="n"/>
      <c r="H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  <c r="G376" s="97" t="n"/>
      <c r="H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  <c r="G377" s="97" t="n"/>
      <c r="H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  <c r="G378" s="97" t="n"/>
      <c r="H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  <c r="G379" s="97" t="n"/>
      <c r="H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  <c r="G380" s="97" t="n"/>
      <c r="H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  <c r="G381" s="97" t="n"/>
      <c r="H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  <c r="G382" s="97" t="n"/>
      <c r="H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  <c r="G383" s="97" t="n"/>
      <c r="H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  <c r="G384" s="97" t="n"/>
      <c r="H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  <c r="G385" s="97" t="n"/>
      <c r="H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  <c r="G386" s="97" t="n"/>
      <c r="H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  <c r="G387" s="97" t="n"/>
      <c r="H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  <c r="G388" s="97" t="n"/>
      <c r="H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  <c r="G389" s="97" t="n"/>
      <c r="H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  <c r="G390" s="97" t="n"/>
      <c r="H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  <c r="G391" s="97" t="n"/>
      <c r="H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  <c r="G392" s="97" t="n"/>
      <c r="H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  <c r="G393" s="97" t="n"/>
      <c r="H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  <c r="G394" s="97" t="n"/>
      <c r="H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  <c r="G395" s="97" t="n"/>
      <c r="H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  <c r="G396" s="97" t="n"/>
      <c r="H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  <c r="G397" s="97" t="n"/>
      <c r="H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  <c r="G398" s="97" t="n"/>
      <c r="H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  <c r="G399" s="97" t="n"/>
      <c r="H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  <c r="G400" s="97" t="n"/>
      <c r="H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  <c r="G401" s="97" t="n"/>
      <c r="H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  <c r="G402" s="97" t="n"/>
      <c r="H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  <c r="G403" s="97" t="n"/>
      <c r="H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  <c r="G404" s="97" t="n"/>
      <c r="H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  <c r="G405" s="97" t="n"/>
      <c r="H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  <c r="G406" s="97" t="n"/>
      <c r="H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  <c r="G407" s="97" t="n"/>
      <c r="H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  <c r="G408" s="97" t="n"/>
      <c r="H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  <c r="G409" s="97" t="n"/>
      <c r="H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  <c r="G410" s="97" t="n"/>
      <c r="H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  <c r="G411" s="97" t="n"/>
      <c r="H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  <c r="G412" s="97" t="n"/>
      <c r="H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  <c r="G413" s="97" t="n"/>
      <c r="H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  <c r="G414" s="97" t="n"/>
      <c r="H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  <c r="G415" s="97" t="n"/>
      <c r="H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  <c r="G416" s="97" t="n"/>
      <c r="H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  <c r="G417" s="97" t="n"/>
      <c r="H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  <c r="G418" s="97" t="n"/>
      <c r="H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  <c r="G419" s="97" t="n"/>
      <c r="H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  <c r="G420" s="97" t="n"/>
      <c r="H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  <c r="G421" s="97" t="n"/>
      <c r="H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  <c r="G422" s="97" t="n"/>
      <c r="H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  <c r="G423" s="97" t="n"/>
      <c r="H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  <c r="G424" s="97" t="n"/>
      <c r="H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  <c r="G425" s="97" t="n"/>
      <c r="H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  <c r="G426" s="97" t="n"/>
      <c r="H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  <c r="G427" s="97" t="n"/>
      <c r="H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  <c r="G428" s="97" t="n"/>
      <c r="H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  <c r="G429" s="97" t="n"/>
      <c r="H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  <c r="G430" s="97" t="n"/>
      <c r="H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  <c r="G431" s="97" t="n"/>
      <c r="H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  <c r="G432" s="97" t="n"/>
      <c r="H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  <c r="G433" s="97" t="n"/>
      <c r="H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  <c r="G434" s="97" t="n"/>
      <c r="H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  <c r="G435" s="97" t="n"/>
      <c r="H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  <c r="G436" s="97" t="n"/>
      <c r="H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  <c r="G437" s="97" t="n"/>
      <c r="H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  <c r="G438" s="97" t="n"/>
      <c r="H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  <c r="G439" s="97" t="n"/>
      <c r="H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  <c r="G440" s="97" t="n"/>
      <c r="H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  <c r="G441" s="97" t="n"/>
      <c r="H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  <c r="G442" s="97" t="n"/>
      <c r="H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  <c r="G443" s="97" t="n"/>
      <c r="H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  <c r="G444" s="97" t="n"/>
      <c r="H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  <c r="G445" s="97" t="n"/>
      <c r="H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  <c r="G446" s="97" t="n"/>
      <c r="H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  <c r="G447" s="97" t="n"/>
      <c r="H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  <c r="G448" s="97" t="n"/>
      <c r="H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  <c r="G449" s="97" t="n"/>
      <c r="H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  <c r="G450" s="97" t="n"/>
      <c r="H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  <c r="G451" s="97" t="n"/>
      <c r="H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  <c r="G452" s="97" t="n"/>
      <c r="H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  <c r="G453" s="97" t="n"/>
      <c r="H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  <c r="G454" s="97" t="n"/>
      <c r="H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  <c r="G455" s="97" t="n"/>
      <c r="H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  <c r="G456" s="97" t="n"/>
      <c r="H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  <c r="G457" s="97" t="n"/>
      <c r="H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  <c r="G458" s="97" t="n"/>
      <c r="H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  <c r="G459" s="97" t="n"/>
      <c r="H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  <c r="G460" s="97" t="n"/>
      <c r="H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  <c r="G461" s="97" t="n"/>
      <c r="H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  <c r="G462" s="97" t="n"/>
      <c r="H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  <c r="G463" s="97" t="n"/>
      <c r="H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  <c r="G464" s="97" t="n"/>
      <c r="H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  <c r="G465" s="97" t="n"/>
      <c r="H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  <c r="G466" s="97" t="n"/>
      <c r="H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  <c r="G467" s="97" t="n"/>
      <c r="H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  <c r="G468" s="97" t="n"/>
      <c r="H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  <c r="G469" s="97" t="n"/>
      <c r="H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  <c r="G470" s="97" t="n"/>
      <c r="H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  <c r="G471" s="97" t="n"/>
      <c r="H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  <c r="G472" s="97" t="n"/>
      <c r="H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  <c r="G473" s="97" t="n"/>
      <c r="H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  <c r="G474" s="97" t="n"/>
      <c r="H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  <c r="G475" s="97" t="n"/>
      <c r="H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  <c r="G476" s="97" t="n"/>
      <c r="H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  <c r="G477" s="97" t="n"/>
      <c r="H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  <c r="G478" s="97" t="n"/>
      <c r="H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  <c r="G479" s="97" t="n"/>
      <c r="H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  <c r="G480" s="97" t="n"/>
      <c r="H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  <c r="G481" s="97" t="n"/>
      <c r="H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  <c r="G482" s="97" t="n"/>
      <c r="H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  <c r="G483" s="97" t="n"/>
      <c r="H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  <c r="G484" s="97" t="n"/>
      <c r="H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  <c r="G485" s="97" t="n"/>
      <c r="H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  <c r="G486" s="97" t="n"/>
      <c r="H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  <c r="G487" s="97" t="n"/>
      <c r="H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  <c r="G488" s="97" t="n"/>
      <c r="H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  <c r="G489" s="97" t="n"/>
      <c r="H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  <c r="G490" s="97" t="n"/>
      <c r="H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  <c r="G491" s="97" t="n"/>
      <c r="H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  <c r="G492" s="97" t="n"/>
      <c r="H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  <c r="G493" s="97" t="n"/>
      <c r="H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  <c r="G494" s="97" t="n"/>
      <c r="H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  <c r="G495" s="97" t="n"/>
      <c r="H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  <c r="G496" s="97" t="n"/>
      <c r="H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  <c r="G497" s="97" t="n"/>
      <c r="H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  <c r="G498" s="97" t="n"/>
      <c r="H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  <c r="G499" s="97" t="n"/>
      <c r="H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  <c r="G500" s="97" t="n"/>
      <c r="H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  <c r="G501" s="97" t="n"/>
      <c r="H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  <c r="G502" s="97" t="n"/>
      <c r="H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  <c r="G503" s="97" t="n"/>
      <c r="H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  <c r="G504" s="97" t="n"/>
      <c r="H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  <c r="G505" s="97" t="n"/>
      <c r="H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  <c r="G506" s="97" t="n"/>
      <c r="H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  <c r="G507" s="97" t="n"/>
      <c r="H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  <c r="G508" s="97" t="n"/>
      <c r="H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  <c r="G509" s="97" t="n"/>
      <c r="H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  <c r="G510" s="97" t="n"/>
      <c r="H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  <c r="G511" s="97" t="n"/>
      <c r="H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  <c r="G512" s="97" t="n"/>
      <c r="H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  <c r="G513" s="97" t="n"/>
      <c r="H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  <c r="G514" s="97" t="n"/>
      <c r="H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  <c r="G515" s="97" t="n"/>
      <c r="H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  <c r="G516" s="97" t="n"/>
      <c r="H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  <c r="G517" s="97" t="n"/>
      <c r="H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  <c r="G518" s="97" t="n"/>
      <c r="H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  <c r="G519" s="97" t="n"/>
      <c r="H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  <c r="G520" s="97" t="n"/>
      <c r="H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  <c r="G521" s="97" t="n"/>
      <c r="H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  <c r="G522" s="97" t="n"/>
      <c r="H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  <c r="G523" s="97" t="n"/>
      <c r="H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  <c r="G524" s="97" t="n"/>
      <c r="H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  <c r="G525" s="97" t="n"/>
      <c r="H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  <c r="G526" s="97" t="n"/>
      <c r="H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  <c r="G527" s="97" t="n"/>
      <c r="H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  <c r="G528" s="97" t="n"/>
      <c r="H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  <c r="G529" s="97" t="n"/>
      <c r="H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  <c r="G530" s="97" t="n"/>
      <c r="H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  <c r="G531" s="97" t="n"/>
      <c r="H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  <c r="G532" s="97" t="n"/>
      <c r="H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  <c r="G533" s="97" t="n"/>
      <c r="H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  <c r="G534" s="97" t="n"/>
      <c r="H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  <c r="G535" s="97" t="n"/>
      <c r="H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  <c r="G536" s="97" t="n"/>
      <c r="H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  <c r="G537" s="97" t="n"/>
      <c r="H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  <c r="G538" s="97" t="n"/>
      <c r="H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  <c r="G539" s="97" t="n"/>
      <c r="H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  <c r="G540" s="97" t="n"/>
      <c r="H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  <c r="G541" s="97" t="n"/>
      <c r="H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  <c r="G542" s="97" t="n"/>
      <c r="H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  <c r="G543" s="97" t="n"/>
      <c r="H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  <c r="G544" s="97" t="n"/>
      <c r="H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  <c r="G545" s="97" t="n"/>
      <c r="H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  <c r="G546" s="97" t="n"/>
      <c r="H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  <c r="G547" s="97" t="n"/>
      <c r="H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  <c r="G548" s="97" t="n"/>
      <c r="H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  <c r="G549" s="97" t="n"/>
      <c r="H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  <c r="G550" s="97" t="n"/>
      <c r="H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  <c r="G551" s="97" t="n"/>
      <c r="H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  <c r="G552" s="97" t="n"/>
      <c r="H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  <c r="G553" s="97" t="n"/>
      <c r="H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  <c r="G554" s="97" t="n"/>
      <c r="H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  <c r="G555" s="97" t="n"/>
      <c r="H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  <c r="G556" s="97" t="n"/>
      <c r="H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  <c r="G557" s="97" t="n"/>
      <c r="H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  <c r="G558" s="97" t="n"/>
      <c r="H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  <c r="G559" s="97" t="n"/>
      <c r="H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  <c r="G560" s="97" t="n"/>
      <c r="H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  <c r="G561" s="97" t="n"/>
      <c r="H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  <c r="G562" s="97" t="n"/>
      <c r="H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  <c r="G563" s="97" t="n"/>
      <c r="H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  <c r="G564" s="97" t="n"/>
      <c r="H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  <c r="G565" s="97" t="n"/>
      <c r="H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  <c r="G566" s="97" t="n"/>
      <c r="H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  <c r="G567" s="97" t="n"/>
      <c r="H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  <c r="G568" s="97" t="n"/>
      <c r="H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  <c r="G569" s="97" t="n"/>
      <c r="H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  <c r="G570" s="97" t="n"/>
      <c r="H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  <c r="G571" s="97" t="n"/>
      <c r="H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  <c r="G572" s="97" t="n"/>
      <c r="H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  <c r="G573" s="97" t="n"/>
      <c r="H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  <c r="G574" s="97" t="n"/>
      <c r="H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  <c r="G575" s="97" t="n"/>
      <c r="H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  <c r="G576" s="97" t="n"/>
      <c r="H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  <c r="G577" s="97" t="n"/>
      <c r="H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  <c r="G578" s="97" t="n"/>
      <c r="H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  <c r="G579" s="97" t="n"/>
      <c r="H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  <c r="G580" s="97" t="n"/>
      <c r="H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  <c r="G581" s="97" t="n"/>
      <c r="H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  <c r="G582" s="97" t="n"/>
      <c r="H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  <c r="G583" s="97" t="n"/>
      <c r="H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  <c r="G584" s="97" t="n"/>
      <c r="H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  <c r="G585" s="97" t="n"/>
      <c r="H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  <c r="G586" s="97" t="n"/>
      <c r="H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  <c r="G587" s="97" t="n"/>
      <c r="H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  <c r="G588" s="97" t="n"/>
      <c r="H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  <c r="G589" s="97" t="n"/>
      <c r="H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  <c r="G590" s="97" t="n"/>
      <c r="H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  <c r="G591" s="97" t="n"/>
      <c r="H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  <c r="G592" s="97" t="n"/>
      <c r="H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  <c r="G593" s="97" t="n"/>
      <c r="H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  <c r="G594" s="97" t="n"/>
      <c r="H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  <c r="G595" s="97" t="n"/>
      <c r="H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  <c r="G596" s="97" t="n"/>
      <c r="H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  <c r="G597" s="97" t="n"/>
      <c r="H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  <c r="G598" s="97" t="n"/>
      <c r="H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  <c r="G599" s="97" t="n"/>
      <c r="H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  <c r="G600" s="97" t="n"/>
      <c r="H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  <c r="G601" s="97" t="n"/>
      <c r="H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  <c r="G602" s="97" t="n"/>
      <c r="H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  <c r="G603" s="97" t="n"/>
      <c r="H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  <c r="G604" s="97" t="n"/>
      <c r="H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  <c r="G605" s="97" t="n"/>
      <c r="H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  <c r="G606" s="97" t="n"/>
      <c r="H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  <c r="G607" s="97" t="n"/>
      <c r="H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  <c r="G608" s="97" t="n"/>
      <c r="H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  <c r="G609" s="97" t="n"/>
      <c r="H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  <c r="G610" s="97" t="n"/>
      <c r="H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  <c r="G611" s="97" t="n"/>
      <c r="H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  <c r="G612" s="97" t="n"/>
      <c r="H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  <c r="G613" s="97" t="n"/>
      <c r="H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  <c r="G614" s="97" t="n"/>
      <c r="H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  <c r="G615" s="97" t="n"/>
      <c r="H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  <c r="G616" s="97" t="n"/>
      <c r="H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  <c r="G617" s="97" t="n"/>
      <c r="H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  <c r="G618" s="97" t="n"/>
      <c r="H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  <c r="G619" s="97" t="n"/>
      <c r="H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  <c r="G620" s="97" t="n"/>
      <c r="H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  <c r="G621" s="97" t="n"/>
      <c r="H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  <c r="G622" s="97" t="n"/>
      <c r="H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  <c r="G623" s="97" t="n"/>
      <c r="H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  <c r="G624" s="97" t="n"/>
      <c r="H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  <c r="G625" s="97" t="n"/>
      <c r="H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  <c r="G626" s="97" t="n"/>
      <c r="H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  <c r="G627" s="97" t="n"/>
      <c r="H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  <c r="G628" s="97" t="n"/>
      <c r="H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  <c r="G629" s="97" t="n"/>
      <c r="H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  <c r="G630" s="97" t="n"/>
      <c r="H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  <c r="G631" s="97" t="n"/>
      <c r="H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  <c r="G632" s="97" t="n"/>
      <c r="H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  <c r="G633" s="97" t="n"/>
      <c r="H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  <c r="G634" s="97" t="n"/>
      <c r="H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  <c r="G635" s="97" t="n"/>
      <c r="H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  <c r="G636" s="97" t="n"/>
      <c r="H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  <c r="G637" s="97" t="n"/>
      <c r="H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  <c r="G638" s="97" t="n"/>
      <c r="H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  <c r="G639" s="97" t="n"/>
      <c r="H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  <c r="G640" s="97" t="n"/>
      <c r="H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  <c r="G641" s="97" t="n"/>
      <c r="H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  <c r="G642" s="97" t="n"/>
      <c r="H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  <c r="G643" s="97" t="n"/>
      <c r="H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  <c r="G644" s="97" t="n"/>
      <c r="H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  <c r="G645" s="97" t="n"/>
      <c r="H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  <c r="G646" s="97" t="n"/>
      <c r="H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  <c r="G647" s="97" t="n"/>
      <c r="H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  <c r="G648" s="97" t="n"/>
      <c r="H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  <c r="G649" s="97" t="n"/>
      <c r="H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  <c r="G650" s="97" t="n"/>
      <c r="H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  <c r="G651" s="97" t="n"/>
      <c r="H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  <c r="G652" s="97" t="n"/>
      <c r="H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  <c r="G653" s="97" t="n"/>
      <c r="H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  <c r="G654" s="97" t="n"/>
      <c r="H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  <c r="G655" s="97" t="n"/>
      <c r="H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  <c r="G656" s="97" t="n"/>
      <c r="H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  <c r="G657" s="97" t="n"/>
      <c r="H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  <c r="G658" s="97" t="n"/>
      <c r="H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  <c r="G659" s="97" t="n"/>
      <c r="H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  <c r="G660" s="97" t="n"/>
      <c r="H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  <c r="G661" s="97" t="n"/>
      <c r="H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  <c r="G662" s="97" t="n"/>
      <c r="H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  <c r="G663" s="97" t="n"/>
      <c r="H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  <c r="G664" s="97" t="n"/>
      <c r="H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  <c r="G665" s="97" t="n"/>
      <c r="H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  <c r="G666" s="97" t="n"/>
      <c r="H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  <c r="G667" s="97" t="n"/>
      <c r="H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  <c r="G668" s="97" t="n"/>
      <c r="H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  <c r="G669" s="97" t="n"/>
      <c r="H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  <c r="G670" s="97" t="n"/>
      <c r="H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  <c r="G671" s="97" t="n"/>
      <c r="H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  <c r="G672" s="97" t="n"/>
      <c r="H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  <c r="G673" s="97" t="n"/>
      <c r="H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  <c r="G674" s="97" t="n"/>
      <c r="H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  <c r="G675" s="97" t="n"/>
      <c r="H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  <c r="G676" s="97" t="n"/>
      <c r="H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  <c r="G677" s="97" t="n"/>
      <c r="H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  <c r="G678" s="97" t="n"/>
      <c r="H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  <c r="G679" s="97" t="n"/>
      <c r="H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  <c r="G680" s="97" t="n"/>
      <c r="H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  <c r="G681" s="97" t="n"/>
      <c r="H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  <c r="G682" s="97" t="n"/>
      <c r="H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  <c r="G683" s="97" t="n"/>
      <c r="H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  <c r="G684" s="97" t="n"/>
      <c r="H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  <c r="G685" s="97" t="n"/>
      <c r="H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  <c r="G686" s="97" t="n"/>
      <c r="H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  <c r="G687" s="97" t="n"/>
      <c r="H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  <c r="G688" s="97" t="n"/>
      <c r="H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  <c r="G689" s="97" t="n"/>
      <c r="H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  <c r="G690" s="97" t="n"/>
      <c r="H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  <c r="G691" s="97" t="n"/>
      <c r="H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  <c r="G692" s="97" t="n"/>
      <c r="H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  <c r="G693" s="97" t="n"/>
      <c r="H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  <c r="G694" s="97" t="n"/>
      <c r="H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  <c r="G695" s="97" t="n"/>
      <c r="H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  <c r="G696" s="97" t="n"/>
      <c r="H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  <c r="G697" s="97" t="n"/>
      <c r="H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  <c r="G698" s="97" t="n"/>
      <c r="H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  <c r="G699" s="97" t="n"/>
      <c r="H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  <c r="G700" s="97" t="n"/>
      <c r="H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  <c r="G701" s="97" t="n"/>
      <c r="H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  <c r="G702" s="97" t="n"/>
      <c r="H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  <c r="G703" s="97" t="n"/>
      <c r="H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  <c r="G704" s="97" t="n"/>
      <c r="H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  <c r="G705" s="97" t="n"/>
      <c r="H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  <c r="G706" s="97" t="n"/>
      <c r="H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  <c r="G707" s="97" t="n"/>
      <c r="H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  <c r="G708" s="97" t="n"/>
      <c r="H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  <c r="G709" s="97" t="n"/>
      <c r="H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  <c r="G710" s="97" t="n"/>
      <c r="H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  <c r="G711" s="97" t="n"/>
      <c r="H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  <c r="G712" s="97" t="n"/>
      <c r="H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  <c r="G713" s="97" t="n"/>
      <c r="H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  <c r="G714" s="97" t="n"/>
      <c r="H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  <c r="G715" s="97" t="n"/>
      <c r="H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  <c r="G716" s="97" t="n"/>
      <c r="H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  <c r="G717" s="97" t="n"/>
      <c r="H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  <c r="G718" s="97" t="n"/>
      <c r="H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  <c r="G719" s="97" t="n"/>
      <c r="H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  <c r="G720" s="97" t="n"/>
      <c r="H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  <c r="G721" s="97" t="n"/>
      <c r="H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  <c r="G722" s="97" t="n"/>
      <c r="H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  <c r="G723" s="97" t="n"/>
      <c r="H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  <c r="G724" s="97" t="n"/>
      <c r="H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  <c r="G725" s="97" t="n"/>
      <c r="H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  <c r="G726" s="97" t="n"/>
      <c r="H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  <c r="G727" s="97" t="n"/>
      <c r="H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  <c r="G728" s="97" t="n"/>
      <c r="H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  <c r="G729" s="97" t="n"/>
      <c r="H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  <c r="G730" s="97" t="n"/>
      <c r="H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  <c r="G731" s="97" t="n"/>
      <c r="H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  <c r="G732" s="97" t="n"/>
      <c r="H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  <c r="G733" s="97" t="n"/>
      <c r="H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  <c r="G734" s="97" t="n"/>
      <c r="H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  <c r="G735" s="97" t="n"/>
      <c r="H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  <c r="G736" s="97" t="n"/>
      <c r="H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  <c r="G737" s="97" t="n"/>
      <c r="H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  <c r="G738" s="97" t="n"/>
      <c r="H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  <c r="G739" s="97" t="n"/>
      <c r="H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  <c r="G740" s="97" t="n"/>
      <c r="H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  <c r="G741" s="97" t="n"/>
      <c r="H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  <c r="G742" s="97" t="n"/>
      <c r="H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  <c r="G743" s="97" t="n"/>
      <c r="H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  <c r="G744" s="97" t="n"/>
      <c r="H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  <c r="G745" s="97" t="n"/>
      <c r="H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  <c r="G746" s="97" t="n"/>
      <c r="H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  <c r="G747" s="97" t="n"/>
      <c r="H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  <c r="G748" s="97" t="n"/>
      <c r="H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  <c r="G749" s="97" t="n"/>
      <c r="H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  <c r="G750" s="97" t="n"/>
      <c r="H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  <c r="G751" s="97" t="n"/>
      <c r="H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  <c r="G752" s="97" t="n"/>
      <c r="H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  <c r="G753" s="97" t="n"/>
      <c r="H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  <c r="G754" s="97" t="n"/>
      <c r="H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  <c r="G755" s="97" t="n"/>
      <c r="H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  <c r="G756" s="97" t="n"/>
      <c r="H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  <c r="G757" s="97" t="n"/>
      <c r="H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  <c r="G758" s="97" t="n"/>
      <c r="H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  <c r="G759" s="97" t="n"/>
      <c r="H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  <c r="G760" s="97" t="n"/>
      <c r="H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  <c r="G761" s="97" t="n"/>
      <c r="H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  <c r="G762" s="97" t="n"/>
      <c r="H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  <c r="G763" s="97" t="n"/>
      <c r="H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  <c r="G764" s="97" t="n"/>
      <c r="H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  <c r="G765" s="97" t="n"/>
      <c r="H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  <c r="G766" s="97" t="n"/>
      <c r="H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  <c r="G767" s="97" t="n"/>
      <c r="H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  <c r="G768" s="97" t="n"/>
      <c r="H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  <c r="G769" s="97" t="n"/>
      <c r="H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  <c r="G770" s="97" t="n"/>
      <c r="H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  <c r="G771" s="97" t="n"/>
      <c r="H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  <c r="G772" s="97" t="n"/>
      <c r="H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  <c r="G773" s="97" t="n"/>
      <c r="H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  <c r="G774" s="97" t="n"/>
      <c r="H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  <c r="G775" s="97" t="n"/>
      <c r="H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  <c r="G776" s="97" t="n"/>
      <c r="H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  <c r="G777" s="97" t="n"/>
      <c r="H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  <c r="G778" s="97" t="n"/>
      <c r="H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  <c r="G779" s="97" t="n"/>
      <c r="H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  <c r="G780" s="97" t="n"/>
      <c r="H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  <c r="G781" s="97" t="n"/>
      <c r="H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  <c r="G782" s="97" t="n"/>
      <c r="H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  <c r="G783" s="97" t="n"/>
      <c r="H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  <c r="G784" s="97" t="n"/>
      <c r="H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  <c r="G785" s="97" t="n"/>
      <c r="H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  <c r="G786" s="97" t="n"/>
      <c r="H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  <c r="G787" s="97" t="n"/>
      <c r="H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  <c r="G788" s="97" t="n"/>
      <c r="H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  <c r="G789" s="97" t="n"/>
      <c r="H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  <c r="G790" s="97" t="n"/>
      <c r="H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  <c r="G791" s="97" t="n"/>
      <c r="H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  <c r="G792" s="97" t="n"/>
      <c r="H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  <c r="G793" s="97" t="n"/>
      <c r="H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  <c r="G794" s="97" t="n"/>
      <c r="H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  <c r="G795" s="97" t="n"/>
      <c r="H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  <c r="G796" s="97" t="n"/>
      <c r="H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  <c r="G797" s="97" t="n"/>
      <c r="H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  <c r="G798" s="97" t="n"/>
      <c r="H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  <c r="G799" s="97" t="n"/>
      <c r="H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  <c r="G800" s="97" t="n"/>
      <c r="H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  <c r="G801" s="97" t="n"/>
      <c r="H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  <c r="G802" s="97" t="n"/>
      <c r="H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  <c r="G803" s="97" t="n"/>
      <c r="H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  <c r="G804" s="97" t="n"/>
      <c r="H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  <c r="G805" s="97" t="n"/>
      <c r="H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  <c r="G806" s="97" t="n"/>
      <c r="H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  <c r="G807" s="97" t="n"/>
      <c r="H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  <c r="G808" s="97" t="n"/>
      <c r="H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  <c r="G809" s="97" t="n"/>
      <c r="H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  <c r="G810" s="97" t="n"/>
      <c r="H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  <c r="G811" s="97" t="n"/>
      <c r="H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  <c r="G812" s="97" t="n"/>
      <c r="H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  <c r="G813" s="97" t="n"/>
      <c r="H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  <c r="G814" s="97" t="n"/>
      <c r="H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  <c r="G815" s="97" t="n"/>
      <c r="H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  <c r="G816" s="97" t="n"/>
      <c r="H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  <c r="G817" s="97" t="n"/>
      <c r="H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  <c r="G818" s="97" t="n"/>
      <c r="H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  <c r="G819" s="97" t="n"/>
      <c r="H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  <c r="G820" s="97" t="n"/>
      <c r="H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  <c r="G821" s="97" t="n"/>
      <c r="H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  <c r="G822" s="97" t="n"/>
      <c r="H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  <c r="G823" s="97" t="n"/>
      <c r="H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  <c r="G824" s="97" t="n"/>
      <c r="H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  <c r="G825" s="97" t="n"/>
      <c r="H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  <c r="G826" s="97" t="n"/>
      <c r="H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  <c r="G827" s="97" t="n"/>
      <c r="H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  <c r="G828" s="97" t="n"/>
      <c r="H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  <c r="G829" s="97" t="n"/>
      <c r="H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  <c r="G830" s="97" t="n"/>
      <c r="H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  <c r="G831" s="97" t="n"/>
      <c r="H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  <c r="G832" s="97" t="n"/>
      <c r="H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  <c r="G833" s="97" t="n"/>
      <c r="H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  <c r="G834" s="97" t="n"/>
      <c r="H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  <c r="G835" s="97" t="n"/>
      <c r="H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  <c r="G836" s="97" t="n"/>
      <c r="H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  <c r="G837" s="97" t="n"/>
      <c r="H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  <c r="G838" s="97" t="n"/>
      <c r="H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  <c r="G839" s="97" t="n"/>
      <c r="H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  <c r="G840" s="97" t="n"/>
      <c r="H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  <c r="G841" s="97" t="n"/>
      <c r="H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  <c r="G842" s="97" t="n"/>
      <c r="H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  <c r="G843" s="97" t="n"/>
      <c r="H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  <c r="G844" s="97" t="n"/>
      <c r="H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  <c r="G845" s="97" t="n"/>
      <c r="H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  <c r="G846" s="97" t="n"/>
      <c r="H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  <c r="G847" s="97" t="n"/>
      <c r="H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  <c r="G848" s="97" t="n"/>
      <c r="H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  <c r="G849" s="97" t="n"/>
      <c r="H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  <c r="G850" s="97" t="n"/>
      <c r="H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  <c r="G851" s="97" t="n"/>
      <c r="H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  <c r="G852" s="97" t="n"/>
      <c r="H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  <c r="G853" s="97" t="n"/>
      <c r="H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  <c r="G854" s="97" t="n"/>
      <c r="H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  <c r="G855" s="97" t="n"/>
      <c r="H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  <c r="G856" s="97" t="n"/>
      <c r="H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  <c r="G857" s="97" t="n"/>
      <c r="H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  <c r="G858" s="97" t="n"/>
      <c r="H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  <c r="G859" s="97" t="n"/>
      <c r="H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  <c r="G860" s="97" t="n"/>
      <c r="H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  <c r="G861" s="97" t="n"/>
      <c r="H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  <c r="G862" s="97" t="n"/>
      <c r="H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  <c r="G863" s="97" t="n"/>
      <c r="H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  <c r="G864" s="97" t="n"/>
      <c r="H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  <c r="G865" s="97" t="n"/>
      <c r="H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  <c r="G866" s="97" t="n"/>
      <c r="H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  <c r="G867" s="97" t="n"/>
      <c r="H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  <c r="G868" s="97" t="n"/>
      <c r="H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  <c r="G869" s="97" t="n"/>
      <c r="H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  <c r="G870" s="97" t="n"/>
      <c r="H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  <c r="G871" s="97" t="n"/>
      <c r="H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  <c r="G872" s="97" t="n"/>
      <c r="H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  <c r="G873" s="97" t="n"/>
      <c r="H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  <c r="G874" s="97" t="n"/>
      <c r="H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  <c r="G875" s="97" t="n"/>
      <c r="H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  <c r="G876" s="97" t="n"/>
      <c r="H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  <c r="G877" s="97" t="n"/>
      <c r="H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  <c r="G878" s="97" t="n"/>
      <c r="H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  <c r="G879" s="97" t="n"/>
      <c r="H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  <c r="G880" s="97" t="n"/>
      <c r="H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  <c r="G881" s="97" t="n"/>
      <c r="H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  <c r="G882" s="97" t="n"/>
      <c r="H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  <c r="G883" s="97" t="n"/>
      <c r="H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  <c r="G884" s="97" t="n"/>
      <c r="H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  <c r="G885" s="97" t="n"/>
      <c r="H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  <c r="G886" s="97" t="n"/>
      <c r="H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  <c r="G887" s="97" t="n"/>
      <c r="H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  <c r="G888" s="97" t="n"/>
      <c r="H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  <c r="G889" s="97" t="n"/>
      <c r="H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  <c r="G890" s="97" t="n"/>
      <c r="H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  <c r="G891" s="97" t="n"/>
      <c r="H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  <c r="G892" s="97" t="n"/>
      <c r="H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  <c r="G893" s="97" t="n"/>
      <c r="H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  <c r="G894" s="97" t="n"/>
      <c r="H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  <c r="G895" s="97" t="n"/>
      <c r="H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  <c r="G896" s="97" t="n"/>
      <c r="H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  <c r="G897" s="97" t="n"/>
      <c r="H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  <c r="G898" s="97" t="n"/>
      <c r="H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  <c r="G899" s="97" t="n"/>
      <c r="H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  <c r="G900" s="97" t="n"/>
      <c r="H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  <c r="G901" s="97" t="n"/>
      <c r="H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  <c r="G902" s="97" t="n"/>
      <c r="H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  <c r="G903" s="97" t="n"/>
      <c r="H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  <c r="G904" s="97" t="n"/>
      <c r="H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  <c r="G905" s="97" t="n"/>
      <c r="H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  <c r="G906" s="97" t="n"/>
      <c r="H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  <c r="G907" s="97" t="n"/>
      <c r="H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  <c r="G908" s="97" t="n"/>
      <c r="H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  <c r="G909" s="97" t="n"/>
      <c r="H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  <c r="G910" s="97" t="n"/>
      <c r="H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  <c r="G911" s="97" t="n"/>
      <c r="H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  <c r="G912" s="97" t="n"/>
      <c r="H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  <c r="G913" s="97" t="n"/>
      <c r="H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  <c r="G914" s="97" t="n"/>
      <c r="H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  <c r="G915" s="97" t="n"/>
      <c r="H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  <c r="G916" s="97" t="n"/>
      <c r="H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  <c r="G917" s="97" t="n"/>
      <c r="H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  <c r="G918" s="97" t="n"/>
      <c r="H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  <c r="G919" s="97" t="n"/>
      <c r="H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  <c r="G920" s="97" t="n"/>
      <c r="H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  <c r="G921" s="97" t="n"/>
      <c r="H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  <c r="G922" s="97" t="n"/>
      <c r="H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  <c r="G923" s="97" t="n"/>
      <c r="H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  <c r="G924" s="97" t="n"/>
      <c r="H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  <c r="G925" s="97" t="n"/>
      <c r="H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  <c r="G926" s="97" t="n"/>
      <c r="H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  <c r="G927" s="97" t="n"/>
      <c r="H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  <c r="G928" s="97" t="n"/>
      <c r="H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  <c r="G929" s="97" t="n"/>
      <c r="H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  <c r="G930" s="97" t="n"/>
      <c r="H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  <c r="G931" s="97" t="n"/>
      <c r="H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  <c r="G932" s="97" t="n"/>
      <c r="H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  <c r="G933" s="97" t="n"/>
      <c r="H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  <c r="G934" s="97" t="n"/>
      <c r="H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  <c r="G935" s="97" t="n"/>
      <c r="H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  <c r="G936" s="97" t="n"/>
      <c r="H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  <c r="G937" s="97" t="n"/>
      <c r="H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  <c r="G938" s="97" t="n"/>
      <c r="H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  <c r="G939" s="97" t="n"/>
      <c r="H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  <c r="G940" s="97" t="n"/>
      <c r="H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  <c r="G941" s="97" t="n"/>
      <c r="H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  <c r="G942" s="97" t="n"/>
      <c r="H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  <c r="G943" s="97" t="n"/>
      <c r="H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  <c r="G944" s="97" t="n"/>
      <c r="H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  <c r="G945" s="97" t="n"/>
      <c r="H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  <c r="G946" s="97" t="n"/>
      <c r="H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  <c r="G947" s="97" t="n"/>
      <c r="H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  <c r="G948" s="97" t="n"/>
      <c r="H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  <c r="G949" s="97" t="n"/>
      <c r="H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  <c r="G950" s="97" t="n"/>
      <c r="H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  <c r="G951" s="97" t="n"/>
      <c r="H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  <c r="G952" s="97" t="n"/>
      <c r="H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  <c r="G953" s="97" t="n"/>
      <c r="H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  <c r="G954" s="97" t="n"/>
      <c r="H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  <c r="G955" s="97" t="n"/>
      <c r="H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  <c r="G956" s="97" t="n"/>
      <c r="H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  <c r="G957" s="97" t="n"/>
      <c r="H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  <c r="G958" s="97" t="n"/>
      <c r="H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  <c r="G959" s="97" t="n"/>
      <c r="H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  <c r="G960" s="97" t="n"/>
      <c r="H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  <c r="G961" s="97" t="n"/>
      <c r="H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  <c r="G962" s="97" t="n"/>
      <c r="H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  <c r="G963" s="97" t="n"/>
      <c r="H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  <c r="G964" s="97" t="n"/>
      <c r="H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  <c r="G965" s="97" t="n"/>
      <c r="H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  <c r="G966" s="97" t="n"/>
      <c r="H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  <c r="G967" s="97" t="n"/>
      <c r="H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  <c r="G968" s="97" t="n"/>
      <c r="H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  <c r="G969" s="97" t="n"/>
      <c r="H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  <c r="G970" s="97" t="n"/>
      <c r="H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  <c r="G971" s="97" t="n"/>
      <c r="H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  <c r="G972" s="97" t="n"/>
      <c r="H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  <c r="G973" s="97" t="n"/>
      <c r="H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  <c r="G974" s="97" t="n"/>
      <c r="H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  <c r="G975" s="97" t="n"/>
      <c r="H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  <c r="G976" s="97" t="n"/>
      <c r="H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  <c r="G977" s="97" t="n"/>
      <c r="H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  <c r="G978" s="97" t="n"/>
      <c r="H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  <c r="G979" s="97" t="n"/>
      <c r="H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  <c r="G980" s="97" t="n"/>
      <c r="H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  <c r="G981" s="97" t="n"/>
      <c r="H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  <c r="G982" s="97" t="n"/>
      <c r="H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  <c r="G983" s="97" t="n"/>
      <c r="H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  <c r="G984" s="97" t="n"/>
      <c r="H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  <c r="G985" s="97" t="n"/>
      <c r="H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  <c r="G986" s="97" t="n"/>
      <c r="H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  <c r="G987" s="97" t="n"/>
      <c r="H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  <c r="G988" s="97" t="n"/>
      <c r="H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  <c r="G989" s="97" t="n"/>
      <c r="H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  <c r="G990" s="97" t="n"/>
      <c r="H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  <c r="G991" s="97" t="n"/>
      <c r="H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  <c r="G992" s="97" t="n"/>
      <c r="H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  <c r="G993" s="97" t="n"/>
      <c r="H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  <c r="G994" s="97" t="n"/>
      <c r="H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  <c r="G995" s="97" t="n"/>
      <c r="H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  <c r="G996" s="97" t="n"/>
      <c r="H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  <c r="G997" s="97" t="n"/>
      <c r="H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  <c r="G998" s="97" t="n"/>
      <c r="H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  <c r="G999" s="97" t="n"/>
      <c r="H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  <c r="G1000" s="97" t="n"/>
      <c r="H1000" s="97" t="n"/>
    </row>
  </sheetData>
  <autoFilter ref="$A$1:$H$1"/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2.63" defaultRowHeight="15" customHeight="1"/>
  <cols>
    <col width="90" customWidth="1" style="163" min="1" max="1"/>
    <col width="8.630000000000001" customWidth="1" style="163" min="2" max="26"/>
  </cols>
  <sheetData>
    <row r="1">
      <c r="A1" s="105" t="inlineStr">
        <is>
          <t>СЛУЖЕБНЫЙ ЛИСТ — скрыт. Работникам: «Шахматка участки» + «Карта».</t>
        </is>
      </c>
    </row>
    <row r="2">
      <c r="A2" s="106" t="inlineStr">
        <is>
          <t>Данные и формулы — на скрытых листах «Данные участки», «Каталог», «Прайс».</t>
        </is>
      </c>
    </row>
    <row r="3">
      <c r="A3" s="106" t="inlineStr">
        <is>
          <t>Цена земли = площадь × ₽/м². Если выбран проект (кол. G) — ставка от этого дома.</t>
        </is>
      </c>
    </row>
    <row r="4">
      <c r="A4" s="106" t="inlineStr">
        <is>
          <t>Угловая надбавка к дому: площадь × 1 000 ₽ (отдельно от земли).</t>
        </is>
      </c>
    </row>
    <row r="5">
      <c r="A5" s="106" t="inlineStr">
        <is>
          <t>После ввода цен — напишите, обновлю примечания на шахматке.</t>
        </is>
      </c>
    </row>
    <row r="6">
      <c r="A6" s="97" t="n"/>
    </row>
    <row r="7">
      <c r="A7" s="97" t="n"/>
    </row>
    <row r="8">
      <c r="A8" s="97" t="n"/>
    </row>
    <row r="9">
      <c r="A9" s="97" t="n"/>
    </row>
    <row r="10">
      <c r="A10" s="97" t="n"/>
    </row>
    <row r="11">
      <c r="A11" s="97" t="n"/>
    </row>
    <row r="12">
      <c r="A12" s="97" t="n"/>
    </row>
    <row r="13">
      <c r="A13" s="97" t="n"/>
    </row>
    <row r="14">
      <c r="A14" s="97" t="n"/>
    </row>
    <row r="15">
      <c r="A15" s="97" t="n"/>
    </row>
    <row r="16">
      <c r="A16" s="97" t="n"/>
    </row>
    <row r="17">
      <c r="A17" s="97" t="n"/>
    </row>
    <row r="18">
      <c r="A18" s="97" t="n"/>
    </row>
    <row r="19">
      <c r="A19" s="97" t="n"/>
    </row>
    <row r="20">
      <c r="A20" s="97" t="n"/>
    </row>
    <row r="21" ht="15.75" customHeight="1" s="163">
      <c r="A21" s="97" t="n"/>
    </row>
    <row r="22" ht="15.75" customHeight="1" s="163">
      <c r="A22" s="97" t="n"/>
    </row>
    <row r="23" ht="15.75" customHeight="1" s="163">
      <c r="A23" s="97" t="n"/>
    </row>
    <row r="24" ht="15.75" customHeight="1" s="163">
      <c r="A24" s="97" t="n"/>
    </row>
    <row r="25" ht="15.75" customHeight="1" s="163">
      <c r="A25" s="97" t="n"/>
    </row>
    <row r="26" ht="15.75" customHeight="1" s="163">
      <c r="A26" s="97" t="n"/>
    </row>
    <row r="27" ht="15.75" customHeight="1" s="163">
      <c r="A27" s="97" t="n"/>
    </row>
    <row r="28" ht="15.75" customHeight="1" s="163">
      <c r="A28" s="97" t="n"/>
    </row>
    <row r="29" ht="15.75" customHeight="1" s="163">
      <c r="A29" s="97" t="n"/>
    </row>
    <row r="30" ht="15.75" customHeight="1" s="163">
      <c r="A30" s="97" t="n"/>
    </row>
    <row r="31" ht="15.75" customHeight="1" s="163">
      <c r="A31" s="97" t="n"/>
    </row>
    <row r="32" ht="15.75" customHeight="1" s="163">
      <c r="A32" s="97" t="n"/>
    </row>
    <row r="33" ht="15.75" customHeight="1" s="163">
      <c r="A33" s="97" t="n"/>
    </row>
    <row r="34" ht="15.75" customHeight="1" s="163">
      <c r="A34" s="97" t="n"/>
    </row>
    <row r="35" ht="15.75" customHeight="1" s="163">
      <c r="A35" s="97" t="n"/>
    </row>
    <row r="36" ht="15.75" customHeight="1" s="163">
      <c r="A36" s="97" t="n"/>
    </row>
    <row r="37" ht="15.75" customHeight="1" s="163">
      <c r="A37" s="97" t="n"/>
    </row>
    <row r="38" ht="15.75" customHeight="1" s="163">
      <c r="A38" s="97" t="n"/>
    </row>
    <row r="39" ht="15.75" customHeight="1" s="163">
      <c r="A39" s="97" t="n"/>
    </row>
    <row r="40" ht="15.75" customHeight="1" s="163">
      <c r="A40" s="97" t="n"/>
    </row>
    <row r="41" ht="15.75" customHeight="1" s="163">
      <c r="A41" s="97" t="n"/>
    </row>
    <row r="42" ht="15.75" customHeight="1" s="163">
      <c r="A42" s="97" t="n"/>
    </row>
    <row r="43" ht="15.75" customHeight="1" s="163">
      <c r="A43" s="97" t="n"/>
    </row>
    <row r="44" ht="15.75" customHeight="1" s="163">
      <c r="A44" s="97" t="n"/>
    </row>
    <row r="45" ht="15.75" customHeight="1" s="163">
      <c r="A45" s="97" t="n"/>
    </row>
    <row r="46" ht="15.75" customHeight="1" s="163">
      <c r="A46" s="97" t="n"/>
    </row>
    <row r="47" ht="15.75" customHeight="1" s="163">
      <c r="A47" s="97" t="n"/>
    </row>
    <row r="48" ht="15.75" customHeight="1" s="163">
      <c r="A48" s="97" t="n"/>
    </row>
    <row r="49" ht="15.75" customHeight="1" s="163">
      <c r="A49" s="97" t="n"/>
    </row>
    <row r="50" ht="15.75" customHeight="1" s="163">
      <c r="A50" s="97" t="n"/>
    </row>
    <row r="51" ht="15.75" customHeight="1" s="163">
      <c r="A51" s="97" t="n"/>
    </row>
    <row r="52" ht="15.75" customHeight="1" s="163">
      <c r="A52" s="97" t="n"/>
    </row>
    <row r="53" ht="15.75" customHeight="1" s="163">
      <c r="A53" s="97" t="n"/>
    </row>
    <row r="54" ht="15.75" customHeight="1" s="163">
      <c r="A54" s="97" t="n"/>
    </row>
    <row r="55" ht="15.75" customHeight="1" s="163">
      <c r="A55" s="97" t="n"/>
    </row>
    <row r="56" ht="15.75" customHeight="1" s="163">
      <c r="A56" s="97" t="n"/>
    </row>
    <row r="57" ht="15.75" customHeight="1" s="163">
      <c r="A57" s="97" t="n"/>
    </row>
    <row r="58" ht="15.75" customHeight="1" s="163">
      <c r="A58" s="97" t="n"/>
    </row>
    <row r="59" ht="15.75" customHeight="1" s="163">
      <c r="A59" s="97" t="n"/>
    </row>
    <row r="60" ht="15.75" customHeight="1" s="163">
      <c r="A60" s="97" t="n"/>
    </row>
    <row r="61" ht="15.75" customHeight="1" s="163">
      <c r="A61" s="97" t="n"/>
    </row>
    <row r="62" ht="15.75" customHeight="1" s="163">
      <c r="A62" s="97" t="n"/>
    </row>
    <row r="63" ht="15.75" customHeight="1" s="163">
      <c r="A63" s="97" t="n"/>
    </row>
    <row r="64" ht="15.75" customHeight="1" s="163">
      <c r="A64" s="97" t="n"/>
    </row>
    <row r="65" ht="15.75" customHeight="1" s="163">
      <c r="A65" s="97" t="n"/>
    </row>
    <row r="66" ht="15.75" customHeight="1" s="163">
      <c r="A66" s="97" t="n"/>
    </row>
    <row r="67" ht="15.75" customHeight="1" s="163">
      <c r="A67" s="97" t="n"/>
    </row>
    <row r="68" ht="15.75" customHeight="1" s="163">
      <c r="A68" s="97" t="n"/>
    </row>
    <row r="69" ht="15.75" customHeight="1" s="163">
      <c r="A69" s="97" t="n"/>
    </row>
    <row r="70" ht="15.75" customHeight="1" s="163">
      <c r="A70" s="97" t="n"/>
    </row>
    <row r="71" ht="15.75" customHeight="1" s="163">
      <c r="A71" s="97" t="n"/>
    </row>
    <row r="72" ht="15.75" customHeight="1" s="163">
      <c r="A72" s="97" t="n"/>
    </row>
    <row r="73" ht="15.75" customHeight="1" s="163">
      <c r="A73" s="97" t="n"/>
    </row>
    <row r="74" ht="15.75" customHeight="1" s="163">
      <c r="A74" s="97" t="n"/>
    </row>
    <row r="75" ht="15.75" customHeight="1" s="163">
      <c r="A75" s="97" t="n"/>
    </row>
    <row r="76" ht="15.75" customHeight="1" s="163">
      <c r="A76" s="97" t="n"/>
    </row>
    <row r="77" ht="15.75" customHeight="1" s="163">
      <c r="A77" s="97" t="n"/>
    </row>
    <row r="78" ht="15.75" customHeight="1" s="163">
      <c r="A78" s="97" t="n"/>
    </row>
    <row r="79" ht="15.75" customHeight="1" s="163">
      <c r="A79" s="97" t="n"/>
    </row>
    <row r="80" ht="15.75" customHeight="1" s="163">
      <c r="A80" s="97" t="n"/>
    </row>
    <row r="81" ht="15.75" customHeight="1" s="163">
      <c r="A81" s="97" t="n"/>
    </row>
    <row r="82" ht="15.75" customHeight="1" s="163">
      <c r="A82" s="97" t="n"/>
    </row>
    <row r="83" ht="15.75" customHeight="1" s="163">
      <c r="A83" s="97" t="n"/>
    </row>
    <row r="84" ht="15.75" customHeight="1" s="163">
      <c r="A84" s="97" t="n"/>
    </row>
    <row r="85" ht="15.75" customHeight="1" s="163">
      <c r="A85" s="97" t="n"/>
    </row>
    <row r="86" ht="15.75" customHeight="1" s="163">
      <c r="A86" s="97" t="n"/>
    </row>
    <row r="87" ht="15.75" customHeight="1" s="163">
      <c r="A87" s="97" t="n"/>
    </row>
    <row r="88" ht="15.75" customHeight="1" s="163">
      <c r="A88" s="97" t="n"/>
    </row>
    <row r="89" ht="15.75" customHeight="1" s="163">
      <c r="A89" s="97" t="n"/>
    </row>
    <row r="90" ht="15.75" customHeight="1" s="163">
      <c r="A90" s="97" t="n"/>
    </row>
    <row r="91" ht="15.75" customHeight="1" s="163">
      <c r="A91" s="97" t="n"/>
    </row>
    <row r="92" ht="15.75" customHeight="1" s="163">
      <c r="A92" s="97" t="n"/>
    </row>
    <row r="93" ht="15.75" customHeight="1" s="163">
      <c r="A93" s="97" t="n"/>
    </row>
    <row r="94" ht="15.75" customHeight="1" s="163">
      <c r="A94" s="97" t="n"/>
    </row>
    <row r="95" ht="15.75" customHeight="1" s="163">
      <c r="A95" s="97" t="n"/>
    </row>
    <row r="96" ht="15.75" customHeight="1" s="163">
      <c r="A96" s="97" t="n"/>
    </row>
    <row r="97" ht="15.75" customHeight="1" s="163">
      <c r="A97" s="97" t="n"/>
    </row>
    <row r="98" ht="15.75" customHeight="1" s="163">
      <c r="A98" s="97" t="n"/>
    </row>
    <row r="99" ht="15.75" customHeight="1" s="163">
      <c r="A99" s="97" t="n"/>
    </row>
    <row r="100" ht="15.75" customHeight="1" s="163">
      <c r="A100" s="97" t="n"/>
    </row>
    <row r="101" ht="15.75" customHeight="1" s="163">
      <c r="A101" s="97" t="n"/>
    </row>
    <row r="102" ht="15.75" customHeight="1" s="163">
      <c r="A102" s="97" t="n"/>
    </row>
    <row r="103" ht="15.75" customHeight="1" s="163">
      <c r="A103" s="97" t="n"/>
    </row>
    <row r="104" ht="15.75" customHeight="1" s="163">
      <c r="A104" s="97" t="n"/>
    </row>
    <row r="105" ht="15.75" customHeight="1" s="163">
      <c r="A105" s="97" t="n"/>
    </row>
    <row r="106" ht="15.75" customHeight="1" s="163">
      <c r="A106" s="97" t="n"/>
    </row>
    <row r="107" ht="15.75" customHeight="1" s="163">
      <c r="A107" s="97" t="n"/>
    </row>
    <row r="108" ht="15.75" customHeight="1" s="163">
      <c r="A108" s="97" t="n"/>
    </row>
    <row r="109" ht="15.75" customHeight="1" s="163">
      <c r="A109" s="97" t="n"/>
    </row>
    <row r="110" ht="15.75" customHeight="1" s="163">
      <c r="A110" s="97" t="n"/>
    </row>
    <row r="111" ht="15.75" customHeight="1" s="163">
      <c r="A111" s="97" t="n"/>
    </row>
    <row r="112" ht="15.75" customHeight="1" s="163">
      <c r="A112" s="97" t="n"/>
    </row>
    <row r="113" ht="15.75" customHeight="1" s="163">
      <c r="A113" s="97" t="n"/>
    </row>
    <row r="114" ht="15.75" customHeight="1" s="163">
      <c r="A114" s="97" t="n"/>
    </row>
    <row r="115" ht="15.75" customHeight="1" s="163">
      <c r="A115" s="97" t="n"/>
    </row>
    <row r="116" ht="15.75" customHeight="1" s="163">
      <c r="A116" s="97" t="n"/>
    </row>
    <row r="117" ht="15.75" customHeight="1" s="163">
      <c r="A117" s="97" t="n"/>
    </row>
    <row r="118" ht="15.75" customHeight="1" s="163">
      <c r="A118" s="97" t="n"/>
    </row>
    <row r="119" ht="15.75" customHeight="1" s="163">
      <c r="A119" s="97" t="n"/>
    </row>
    <row r="120" ht="15.75" customHeight="1" s="163">
      <c r="A120" s="97" t="n"/>
    </row>
    <row r="121" ht="15.75" customHeight="1" s="163">
      <c r="A121" s="97" t="n"/>
    </row>
    <row r="122" ht="15.75" customHeight="1" s="163">
      <c r="A122" s="97" t="n"/>
    </row>
    <row r="123" ht="15.75" customHeight="1" s="163">
      <c r="A123" s="97" t="n"/>
    </row>
    <row r="124" ht="15.75" customHeight="1" s="163">
      <c r="A124" s="97" t="n"/>
    </row>
    <row r="125" ht="15.75" customHeight="1" s="163">
      <c r="A125" s="97" t="n"/>
    </row>
    <row r="126" ht="15.75" customHeight="1" s="163">
      <c r="A126" s="97" t="n"/>
    </row>
    <row r="127" ht="15.75" customHeight="1" s="163">
      <c r="A127" s="97" t="n"/>
    </row>
    <row r="128" ht="15.75" customHeight="1" s="163">
      <c r="A128" s="97" t="n"/>
    </row>
    <row r="129" ht="15.75" customHeight="1" s="163">
      <c r="A129" s="97" t="n"/>
    </row>
    <row r="130" ht="15.75" customHeight="1" s="163">
      <c r="A130" s="97" t="n"/>
    </row>
    <row r="131" ht="15.75" customHeight="1" s="163">
      <c r="A131" s="97" t="n"/>
    </row>
    <row r="132" ht="15.75" customHeight="1" s="163">
      <c r="A132" s="97" t="n"/>
    </row>
    <row r="133" ht="15.75" customHeight="1" s="163">
      <c r="A133" s="97" t="n"/>
    </row>
    <row r="134" ht="15.75" customHeight="1" s="163">
      <c r="A134" s="97" t="n"/>
    </row>
    <row r="135" ht="15.75" customHeight="1" s="163">
      <c r="A135" s="97" t="n"/>
    </row>
    <row r="136" ht="15.75" customHeight="1" s="163">
      <c r="A136" s="97" t="n"/>
    </row>
    <row r="137" ht="15.75" customHeight="1" s="163">
      <c r="A137" s="97" t="n"/>
    </row>
    <row r="138" ht="15.75" customHeight="1" s="163">
      <c r="A138" s="97" t="n"/>
    </row>
    <row r="139" ht="15.75" customHeight="1" s="163">
      <c r="A139" s="97" t="n"/>
    </row>
    <row r="140" ht="15.75" customHeight="1" s="163">
      <c r="A140" s="97" t="n"/>
    </row>
    <row r="141" ht="15.75" customHeight="1" s="163">
      <c r="A141" s="97" t="n"/>
    </row>
    <row r="142" ht="15.75" customHeight="1" s="163">
      <c r="A142" s="97" t="n"/>
    </row>
    <row r="143" ht="15.75" customHeight="1" s="163">
      <c r="A143" s="97" t="n"/>
    </row>
    <row r="144" ht="15.75" customHeight="1" s="163">
      <c r="A144" s="97" t="n"/>
    </row>
    <row r="145" ht="15.75" customHeight="1" s="163">
      <c r="A145" s="97" t="n"/>
    </row>
    <row r="146" ht="15.75" customHeight="1" s="163">
      <c r="A146" s="97" t="n"/>
    </row>
    <row r="147" ht="15.75" customHeight="1" s="163">
      <c r="A147" s="97" t="n"/>
    </row>
    <row r="148" ht="15.75" customHeight="1" s="163">
      <c r="A148" s="97" t="n"/>
    </row>
    <row r="149" ht="15.75" customHeight="1" s="163">
      <c r="A149" s="97" t="n"/>
    </row>
    <row r="150" ht="15.75" customHeight="1" s="163">
      <c r="A150" s="97" t="n"/>
    </row>
    <row r="151" ht="15.75" customHeight="1" s="163">
      <c r="A151" s="97" t="n"/>
    </row>
    <row r="152" ht="15.75" customHeight="1" s="163">
      <c r="A152" s="97" t="n"/>
    </row>
    <row r="153" ht="15.75" customHeight="1" s="163">
      <c r="A153" s="97" t="n"/>
    </row>
    <row r="154" ht="15.75" customHeight="1" s="163">
      <c r="A154" s="97" t="n"/>
    </row>
    <row r="155" ht="15.75" customHeight="1" s="163">
      <c r="A155" s="97" t="n"/>
    </row>
    <row r="156" ht="15.75" customHeight="1" s="163">
      <c r="A156" s="97" t="n"/>
    </row>
    <row r="157" ht="15.75" customHeight="1" s="163">
      <c r="A157" s="97" t="n"/>
    </row>
    <row r="158" ht="15.75" customHeight="1" s="163">
      <c r="A158" s="97" t="n"/>
    </row>
    <row r="159" ht="15.75" customHeight="1" s="163">
      <c r="A159" s="97" t="n"/>
    </row>
    <row r="160" ht="15.75" customHeight="1" s="163">
      <c r="A160" s="97" t="n"/>
    </row>
    <row r="161" ht="15.75" customHeight="1" s="163">
      <c r="A161" s="97" t="n"/>
    </row>
    <row r="162" ht="15.75" customHeight="1" s="163">
      <c r="A162" s="97" t="n"/>
    </row>
    <row r="163" ht="15.75" customHeight="1" s="163">
      <c r="A163" s="97" t="n"/>
    </row>
    <row r="164" ht="15.75" customHeight="1" s="163">
      <c r="A164" s="97" t="n"/>
    </row>
    <row r="165" ht="15.75" customHeight="1" s="163">
      <c r="A165" s="97" t="n"/>
    </row>
    <row r="166" ht="15.75" customHeight="1" s="163">
      <c r="A166" s="97" t="n"/>
    </row>
    <row r="167" ht="15.75" customHeight="1" s="163">
      <c r="A167" s="97" t="n"/>
    </row>
    <row r="168" ht="15.75" customHeight="1" s="163">
      <c r="A168" s="97" t="n"/>
    </row>
    <row r="169" ht="15.75" customHeight="1" s="163">
      <c r="A169" s="97" t="n"/>
    </row>
    <row r="170" ht="15.75" customHeight="1" s="163">
      <c r="A170" s="97" t="n"/>
    </row>
    <row r="171" ht="15.75" customHeight="1" s="163">
      <c r="A171" s="97" t="n"/>
    </row>
    <row r="172" ht="15.75" customHeight="1" s="163">
      <c r="A172" s="97" t="n"/>
    </row>
    <row r="173" ht="15.75" customHeight="1" s="163">
      <c r="A173" s="97" t="n"/>
    </row>
    <row r="174" ht="15.75" customHeight="1" s="163">
      <c r="A174" s="97" t="n"/>
    </row>
    <row r="175" ht="15.75" customHeight="1" s="163">
      <c r="A175" s="97" t="n"/>
    </row>
    <row r="176" ht="15.75" customHeight="1" s="163">
      <c r="A176" s="97" t="n"/>
    </row>
    <row r="177" ht="15.75" customHeight="1" s="163">
      <c r="A177" s="97" t="n"/>
    </row>
    <row r="178" ht="15.75" customHeight="1" s="163">
      <c r="A178" s="97" t="n"/>
    </row>
    <row r="179" ht="15.75" customHeight="1" s="163">
      <c r="A179" s="97" t="n"/>
    </row>
    <row r="180" ht="15.75" customHeight="1" s="163">
      <c r="A180" s="97" t="n"/>
    </row>
    <row r="181" ht="15.75" customHeight="1" s="163">
      <c r="A181" s="97" t="n"/>
    </row>
    <row r="182" ht="15.75" customHeight="1" s="163">
      <c r="A182" s="97" t="n"/>
    </row>
    <row r="183" ht="15.75" customHeight="1" s="163">
      <c r="A183" s="97" t="n"/>
    </row>
    <row r="184" ht="15.75" customHeight="1" s="163">
      <c r="A184" s="97" t="n"/>
    </row>
    <row r="185" ht="15.75" customHeight="1" s="163">
      <c r="A185" s="97" t="n"/>
    </row>
    <row r="186" ht="15.75" customHeight="1" s="163">
      <c r="A186" s="97" t="n"/>
    </row>
    <row r="187" ht="15.75" customHeight="1" s="163">
      <c r="A187" s="97" t="n"/>
    </row>
    <row r="188" ht="15.75" customHeight="1" s="163">
      <c r="A188" s="97" t="n"/>
    </row>
    <row r="189" ht="15.75" customHeight="1" s="163">
      <c r="A189" s="97" t="n"/>
    </row>
    <row r="190" ht="15.75" customHeight="1" s="163">
      <c r="A190" s="97" t="n"/>
    </row>
    <row r="191" ht="15.75" customHeight="1" s="163">
      <c r="A191" s="97" t="n"/>
    </row>
    <row r="192" ht="15.75" customHeight="1" s="163">
      <c r="A192" s="97" t="n"/>
    </row>
    <row r="193" ht="15.75" customHeight="1" s="163">
      <c r="A193" s="97" t="n"/>
    </row>
    <row r="194" ht="15.75" customHeight="1" s="163">
      <c r="A194" s="97" t="n"/>
    </row>
    <row r="195" ht="15.75" customHeight="1" s="163">
      <c r="A195" s="97" t="n"/>
    </row>
    <row r="196" ht="15.75" customHeight="1" s="163">
      <c r="A196" s="97" t="n"/>
    </row>
    <row r="197" ht="15.75" customHeight="1" s="163">
      <c r="A197" s="97" t="n"/>
    </row>
    <row r="198" ht="15.75" customHeight="1" s="163">
      <c r="A198" s="97" t="n"/>
    </row>
    <row r="199" ht="15.75" customHeight="1" s="163">
      <c r="A199" s="97" t="n"/>
    </row>
    <row r="200" ht="15.75" customHeight="1" s="163">
      <c r="A200" s="97" t="n"/>
    </row>
    <row r="201" ht="15.75" customHeight="1" s="163">
      <c r="A201" s="97" t="n"/>
    </row>
    <row r="202" ht="15.75" customHeight="1" s="163">
      <c r="A202" s="97" t="n"/>
    </row>
    <row r="203" ht="15.75" customHeight="1" s="163">
      <c r="A203" s="97" t="n"/>
    </row>
    <row r="204" ht="15.75" customHeight="1" s="163">
      <c r="A204" s="97" t="n"/>
    </row>
    <row r="205" ht="15.75" customHeight="1" s="163">
      <c r="A205" s="97" t="n"/>
    </row>
    <row r="206" ht="15.75" customHeight="1" s="163">
      <c r="A206" s="97" t="n"/>
    </row>
    <row r="207" ht="15.75" customHeight="1" s="163">
      <c r="A207" s="97" t="n"/>
    </row>
    <row r="208" ht="15.75" customHeight="1" s="163">
      <c r="A208" s="97" t="n"/>
    </row>
    <row r="209" ht="15.75" customHeight="1" s="163">
      <c r="A209" s="97" t="n"/>
    </row>
    <row r="210" ht="15.75" customHeight="1" s="163">
      <c r="A210" s="97" t="n"/>
    </row>
    <row r="211" ht="15.75" customHeight="1" s="163">
      <c r="A211" s="97" t="n"/>
    </row>
    <row r="212" ht="15.75" customHeight="1" s="163">
      <c r="A212" s="97" t="n"/>
    </row>
    <row r="213" ht="15.75" customHeight="1" s="163">
      <c r="A213" s="97" t="n"/>
    </row>
    <row r="214" ht="15.75" customHeight="1" s="163">
      <c r="A214" s="97" t="n"/>
    </row>
    <row r="215" ht="15.75" customHeight="1" s="163">
      <c r="A215" s="97" t="n"/>
    </row>
    <row r="216" ht="15.75" customHeight="1" s="163">
      <c r="A216" s="97" t="n"/>
    </row>
    <row r="217" ht="15.75" customHeight="1" s="163">
      <c r="A217" s="97" t="n"/>
    </row>
    <row r="218" ht="15.75" customHeight="1" s="163">
      <c r="A218" s="97" t="n"/>
    </row>
    <row r="219" ht="15.75" customHeight="1" s="163">
      <c r="A219" s="97" t="n"/>
    </row>
    <row r="220" ht="15.75" customHeight="1" s="163">
      <c r="A220" s="97" t="n"/>
    </row>
    <row r="221" ht="15.75" customHeight="1" s="163">
      <c r="A221" s="97" t="n"/>
    </row>
    <row r="222" ht="15.75" customHeight="1" s="163">
      <c r="A222" s="97" t="n"/>
    </row>
    <row r="223" ht="15.75" customHeight="1" s="163">
      <c r="A223" s="97" t="n"/>
    </row>
    <row r="224" ht="15.75" customHeight="1" s="163">
      <c r="A224" s="97" t="n"/>
    </row>
    <row r="225" ht="15.75" customHeight="1" s="163">
      <c r="A225" s="97" t="n"/>
    </row>
    <row r="226" ht="15.75" customHeight="1" s="163">
      <c r="A226" s="97" t="n"/>
    </row>
    <row r="227" ht="15.75" customHeight="1" s="163">
      <c r="A227" s="97" t="n"/>
    </row>
    <row r="228" ht="15.75" customHeight="1" s="163">
      <c r="A228" s="97" t="n"/>
    </row>
    <row r="229" ht="15.75" customHeight="1" s="163">
      <c r="A229" s="97" t="n"/>
    </row>
    <row r="230" ht="15.75" customHeight="1" s="163">
      <c r="A230" s="97" t="n"/>
    </row>
    <row r="231" ht="15.75" customHeight="1" s="163">
      <c r="A231" s="97" t="n"/>
    </row>
    <row r="232" ht="15.75" customHeight="1" s="163">
      <c r="A232" s="97" t="n"/>
    </row>
    <row r="233" ht="15.75" customHeight="1" s="163">
      <c r="A233" s="97" t="n"/>
    </row>
    <row r="234" ht="15.75" customHeight="1" s="163">
      <c r="A234" s="97" t="n"/>
    </row>
    <row r="235" ht="15.75" customHeight="1" s="163">
      <c r="A235" s="97" t="n"/>
    </row>
    <row r="236" ht="15.75" customHeight="1" s="163">
      <c r="A236" s="97" t="n"/>
    </row>
    <row r="237" ht="15.75" customHeight="1" s="163">
      <c r="A237" s="97" t="n"/>
    </row>
    <row r="238" ht="15.75" customHeight="1" s="163">
      <c r="A238" s="97" t="n"/>
    </row>
    <row r="239" ht="15.75" customHeight="1" s="163">
      <c r="A239" s="97" t="n"/>
    </row>
    <row r="240" ht="15.75" customHeight="1" s="163">
      <c r="A240" s="97" t="n"/>
    </row>
    <row r="241" ht="15.75" customHeight="1" s="163">
      <c r="A241" s="97" t="n"/>
    </row>
    <row r="242" ht="15.75" customHeight="1" s="163">
      <c r="A242" s="97" t="n"/>
    </row>
    <row r="243" ht="15.75" customHeight="1" s="163">
      <c r="A243" s="97" t="n"/>
    </row>
    <row r="244" ht="15.75" customHeight="1" s="163">
      <c r="A244" s="97" t="n"/>
    </row>
    <row r="245" ht="15.75" customHeight="1" s="163">
      <c r="A245" s="97" t="n"/>
    </row>
    <row r="246" ht="15.75" customHeight="1" s="163">
      <c r="A246" s="97" t="n"/>
    </row>
    <row r="247" ht="15.75" customHeight="1" s="163">
      <c r="A247" s="97" t="n"/>
    </row>
    <row r="248" ht="15.75" customHeight="1" s="163">
      <c r="A248" s="97" t="n"/>
    </row>
    <row r="249" ht="15.75" customHeight="1" s="163">
      <c r="A249" s="97" t="n"/>
    </row>
    <row r="250" ht="15.75" customHeight="1" s="163">
      <c r="A250" s="97" t="n"/>
    </row>
    <row r="251" ht="15.75" customHeight="1" s="163">
      <c r="A251" s="97" t="n"/>
    </row>
    <row r="252" ht="15.75" customHeight="1" s="163">
      <c r="A252" s="97" t="n"/>
    </row>
    <row r="253" ht="15.75" customHeight="1" s="163">
      <c r="A253" s="97" t="n"/>
    </row>
    <row r="254" ht="15.75" customHeight="1" s="163">
      <c r="A254" s="97" t="n"/>
    </row>
    <row r="255" ht="15.75" customHeight="1" s="163">
      <c r="A255" s="97" t="n"/>
    </row>
    <row r="256" ht="15.75" customHeight="1" s="163">
      <c r="A256" s="97" t="n"/>
    </row>
    <row r="257" ht="15.75" customHeight="1" s="163">
      <c r="A257" s="97" t="n"/>
    </row>
    <row r="258" ht="15.75" customHeight="1" s="163">
      <c r="A258" s="97" t="n"/>
    </row>
    <row r="259" ht="15.75" customHeight="1" s="163">
      <c r="A259" s="97" t="n"/>
    </row>
    <row r="260" ht="15.75" customHeight="1" s="163">
      <c r="A260" s="97" t="n"/>
    </row>
    <row r="261" ht="15.75" customHeight="1" s="163">
      <c r="A261" s="97" t="n"/>
    </row>
    <row r="262" ht="15.75" customHeight="1" s="163">
      <c r="A262" s="97" t="n"/>
    </row>
    <row r="263" ht="15.75" customHeight="1" s="163">
      <c r="A263" s="97" t="n"/>
    </row>
    <row r="264" ht="15.75" customHeight="1" s="163">
      <c r="A264" s="97" t="n"/>
    </row>
    <row r="265" ht="15.75" customHeight="1" s="163">
      <c r="A265" s="97" t="n"/>
    </row>
    <row r="266" ht="15.75" customHeight="1" s="163">
      <c r="A266" s="97" t="n"/>
    </row>
    <row r="267" ht="15.75" customHeight="1" s="163">
      <c r="A267" s="97" t="n"/>
    </row>
    <row r="268" ht="15.75" customHeight="1" s="163">
      <c r="A268" s="97" t="n"/>
    </row>
    <row r="269" ht="15.75" customHeight="1" s="163">
      <c r="A269" s="97" t="n"/>
    </row>
    <row r="270" ht="15.75" customHeight="1" s="163">
      <c r="A270" s="97" t="n"/>
    </row>
    <row r="271" ht="15.75" customHeight="1" s="163">
      <c r="A271" s="97" t="n"/>
    </row>
    <row r="272" ht="15.75" customHeight="1" s="163">
      <c r="A272" s="97" t="n"/>
    </row>
    <row r="273" ht="15.75" customHeight="1" s="163">
      <c r="A273" s="97" t="n"/>
    </row>
    <row r="274" ht="15.75" customHeight="1" s="163">
      <c r="A274" s="97" t="n"/>
    </row>
    <row r="275" ht="15.75" customHeight="1" s="163">
      <c r="A275" s="97" t="n"/>
    </row>
    <row r="276" ht="15.75" customHeight="1" s="163">
      <c r="A276" s="97" t="n"/>
    </row>
    <row r="277" ht="15.75" customHeight="1" s="163">
      <c r="A277" s="97" t="n"/>
    </row>
    <row r="278" ht="15.75" customHeight="1" s="163">
      <c r="A278" s="97" t="n"/>
    </row>
    <row r="279" ht="15.75" customHeight="1" s="163">
      <c r="A279" s="97" t="n"/>
    </row>
    <row r="280" ht="15.75" customHeight="1" s="163">
      <c r="A280" s="97" t="n"/>
    </row>
    <row r="281" ht="15.75" customHeight="1" s="163">
      <c r="A281" s="97" t="n"/>
    </row>
    <row r="282" ht="15.75" customHeight="1" s="163">
      <c r="A282" s="97" t="n"/>
    </row>
    <row r="283" ht="15.75" customHeight="1" s="163">
      <c r="A283" s="97" t="n"/>
    </row>
    <row r="284" ht="15.75" customHeight="1" s="163">
      <c r="A284" s="97" t="n"/>
    </row>
    <row r="285" ht="15.75" customHeight="1" s="163">
      <c r="A285" s="97" t="n"/>
    </row>
    <row r="286" ht="15.75" customHeight="1" s="163">
      <c r="A286" s="97" t="n"/>
    </row>
    <row r="287" ht="15.75" customHeight="1" s="163">
      <c r="A287" s="97" t="n"/>
    </row>
    <row r="288" ht="15.75" customHeight="1" s="163">
      <c r="A288" s="97" t="n"/>
    </row>
    <row r="289" ht="15.75" customHeight="1" s="163">
      <c r="A289" s="97" t="n"/>
    </row>
    <row r="290" ht="15.75" customHeight="1" s="163">
      <c r="A290" s="97" t="n"/>
    </row>
    <row r="291" ht="15.75" customHeight="1" s="163">
      <c r="A291" s="97" t="n"/>
    </row>
    <row r="292" ht="15.75" customHeight="1" s="163">
      <c r="A292" s="97" t="n"/>
    </row>
    <row r="293" ht="15.75" customHeight="1" s="163">
      <c r="A293" s="97" t="n"/>
    </row>
    <row r="294" ht="15.75" customHeight="1" s="163">
      <c r="A294" s="97" t="n"/>
    </row>
    <row r="295" ht="15.75" customHeight="1" s="163">
      <c r="A295" s="97" t="n"/>
    </row>
    <row r="296" ht="15.75" customHeight="1" s="163">
      <c r="A296" s="97" t="n"/>
    </row>
    <row r="297" ht="15.75" customHeight="1" s="163">
      <c r="A297" s="97" t="n"/>
    </row>
    <row r="298" ht="15.75" customHeight="1" s="163">
      <c r="A298" s="97" t="n"/>
    </row>
    <row r="299" ht="15.75" customHeight="1" s="163">
      <c r="A299" s="97" t="n"/>
    </row>
    <row r="300" ht="15.75" customHeight="1" s="163">
      <c r="A300" s="97" t="n"/>
    </row>
    <row r="301" ht="15.75" customHeight="1" s="163">
      <c r="A301" s="97" t="n"/>
    </row>
    <row r="302" ht="15.75" customHeight="1" s="163">
      <c r="A302" s="97" t="n"/>
    </row>
    <row r="303" ht="15.75" customHeight="1" s="163">
      <c r="A303" s="97" t="n"/>
    </row>
    <row r="304" ht="15.75" customHeight="1" s="163">
      <c r="A304" s="97" t="n"/>
    </row>
    <row r="305" ht="15.75" customHeight="1" s="163">
      <c r="A305" s="97" t="n"/>
    </row>
    <row r="306" ht="15.75" customHeight="1" s="163">
      <c r="A306" s="97" t="n"/>
    </row>
    <row r="307" ht="15.75" customHeight="1" s="163">
      <c r="A307" s="97" t="n"/>
    </row>
    <row r="308" ht="15.75" customHeight="1" s="163">
      <c r="A308" s="97" t="n"/>
    </row>
    <row r="309" ht="15.75" customHeight="1" s="163">
      <c r="A309" s="97" t="n"/>
    </row>
    <row r="310" ht="15.75" customHeight="1" s="163">
      <c r="A310" s="97" t="n"/>
    </row>
    <row r="311" ht="15.75" customHeight="1" s="163">
      <c r="A311" s="97" t="n"/>
    </row>
    <row r="312" ht="15.75" customHeight="1" s="163">
      <c r="A312" s="97" t="n"/>
    </row>
    <row r="313" ht="15.75" customHeight="1" s="163">
      <c r="A313" s="97" t="n"/>
    </row>
    <row r="314" ht="15.75" customHeight="1" s="163">
      <c r="A314" s="97" t="n"/>
    </row>
    <row r="315" ht="15.75" customHeight="1" s="163">
      <c r="A315" s="97" t="n"/>
    </row>
    <row r="316" ht="15.75" customHeight="1" s="163">
      <c r="A316" s="97" t="n"/>
    </row>
    <row r="317" ht="15.75" customHeight="1" s="163">
      <c r="A317" s="97" t="n"/>
    </row>
    <row r="318" ht="15.75" customHeight="1" s="163">
      <c r="A318" s="97" t="n"/>
    </row>
    <row r="319" ht="15.75" customHeight="1" s="163">
      <c r="A319" s="97" t="n"/>
    </row>
    <row r="320" ht="15.75" customHeight="1" s="163">
      <c r="A320" s="97" t="n"/>
    </row>
    <row r="321" ht="15.75" customHeight="1" s="163">
      <c r="A321" s="97" t="n"/>
    </row>
    <row r="322" ht="15.75" customHeight="1" s="163">
      <c r="A322" s="97" t="n"/>
    </row>
    <row r="323" ht="15.75" customHeight="1" s="163">
      <c r="A323" s="97" t="n"/>
    </row>
    <row r="324" ht="15.75" customHeight="1" s="163">
      <c r="A324" s="97" t="n"/>
    </row>
    <row r="325" ht="15.75" customHeight="1" s="163">
      <c r="A325" s="97" t="n"/>
    </row>
    <row r="326" ht="15.75" customHeight="1" s="163">
      <c r="A326" s="97" t="n"/>
    </row>
    <row r="327" ht="15.75" customHeight="1" s="163">
      <c r="A327" s="97" t="n"/>
    </row>
    <row r="328" ht="15.75" customHeight="1" s="163">
      <c r="A328" s="97" t="n"/>
    </row>
    <row r="329" ht="15.75" customHeight="1" s="163">
      <c r="A329" s="97" t="n"/>
    </row>
    <row r="330" ht="15.75" customHeight="1" s="163">
      <c r="A330" s="97" t="n"/>
    </row>
    <row r="331" ht="15.75" customHeight="1" s="163">
      <c r="A331" s="97" t="n"/>
    </row>
    <row r="332" ht="15.75" customHeight="1" s="163">
      <c r="A332" s="97" t="n"/>
    </row>
    <row r="333" ht="15.75" customHeight="1" s="163">
      <c r="A333" s="97" t="n"/>
    </row>
    <row r="334" ht="15.75" customHeight="1" s="163">
      <c r="A334" s="97" t="n"/>
    </row>
    <row r="335" ht="15.75" customHeight="1" s="163">
      <c r="A335" s="97" t="n"/>
    </row>
    <row r="336" ht="15.75" customHeight="1" s="163">
      <c r="A336" s="97" t="n"/>
    </row>
    <row r="337" ht="15.75" customHeight="1" s="163">
      <c r="A337" s="97" t="n"/>
    </row>
    <row r="338" ht="15.75" customHeight="1" s="163">
      <c r="A338" s="97" t="n"/>
    </row>
    <row r="339" ht="15.75" customHeight="1" s="163">
      <c r="A339" s="97" t="n"/>
    </row>
    <row r="340" ht="15.75" customHeight="1" s="163">
      <c r="A340" s="97" t="n"/>
    </row>
    <row r="341" ht="15.75" customHeight="1" s="163">
      <c r="A341" s="97" t="n"/>
    </row>
    <row r="342" ht="15.75" customHeight="1" s="163">
      <c r="A342" s="97" t="n"/>
    </row>
    <row r="343" ht="15.75" customHeight="1" s="163">
      <c r="A343" s="97" t="n"/>
    </row>
    <row r="344" ht="15.75" customHeight="1" s="163">
      <c r="A344" s="97" t="n"/>
    </row>
    <row r="345" ht="15.75" customHeight="1" s="163">
      <c r="A345" s="97" t="n"/>
    </row>
    <row r="346" ht="15.75" customHeight="1" s="163">
      <c r="A346" s="97" t="n"/>
    </row>
    <row r="347" ht="15.75" customHeight="1" s="163">
      <c r="A347" s="97" t="n"/>
    </row>
    <row r="348" ht="15.75" customHeight="1" s="163">
      <c r="A348" s="97" t="n"/>
    </row>
    <row r="349" ht="15.75" customHeight="1" s="163">
      <c r="A349" s="97" t="n"/>
    </row>
    <row r="350" ht="15.75" customHeight="1" s="163">
      <c r="A350" s="97" t="n"/>
    </row>
    <row r="351" ht="15.75" customHeight="1" s="163">
      <c r="A351" s="97" t="n"/>
    </row>
    <row r="352" ht="15.75" customHeight="1" s="163">
      <c r="A352" s="97" t="n"/>
    </row>
    <row r="353" ht="15.75" customHeight="1" s="163">
      <c r="A353" s="97" t="n"/>
    </row>
    <row r="354" ht="15.75" customHeight="1" s="163">
      <c r="A354" s="97" t="n"/>
    </row>
    <row r="355" ht="15.75" customHeight="1" s="163">
      <c r="A355" s="97" t="n"/>
    </row>
    <row r="356" ht="15.75" customHeight="1" s="163">
      <c r="A356" s="97" t="n"/>
    </row>
    <row r="357" ht="15.75" customHeight="1" s="163">
      <c r="A357" s="97" t="n"/>
    </row>
    <row r="358" ht="15.75" customHeight="1" s="163">
      <c r="A358" s="97" t="n"/>
    </row>
    <row r="359" ht="15.75" customHeight="1" s="163">
      <c r="A359" s="97" t="n"/>
    </row>
    <row r="360" ht="15.75" customHeight="1" s="163">
      <c r="A360" s="97" t="n"/>
    </row>
    <row r="361" ht="15.75" customHeight="1" s="163">
      <c r="A361" s="97" t="n"/>
    </row>
    <row r="362" ht="15.75" customHeight="1" s="163">
      <c r="A362" s="97" t="n"/>
    </row>
    <row r="363" ht="15.75" customHeight="1" s="163">
      <c r="A363" s="97" t="n"/>
    </row>
    <row r="364" ht="15.75" customHeight="1" s="163">
      <c r="A364" s="97" t="n"/>
    </row>
    <row r="365" ht="15.75" customHeight="1" s="163">
      <c r="A365" s="97" t="n"/>
    </row>
    <row r="366" ht="15.75" customHeight="1" s="163">
      <c r="A366" s="97" t="n"/>
    </row>
    <row r="367" ht="15.75" customHeight="1" s="163">
      <c r="A367" s="97" t="n"/>
    </row>
    <row r="368" ht="15.75" customHeight="1" s="163">
      <c r="A368" s="97" t="n"/>
    </row>
    <row r="369" ht="15.75" customHeight="1" s="163">
      <c r="A369" s="97" t="n"/>
    </row>
    <row r="370" ht="15.75" customHeight="1" s="163">
      <c r="A370" s="97" t="n"/>
    </row>
    <row r="371" ht="15.75" customHeight="1" s="163">
      <c r="A371" s="97" t="n"/>
    </row>
    <row r="372" ht="15.75" customHeight="1" s="163">
      <c r="A372" s="97" t="n"/>
    </row>
    <row r="373" ht="15.75" customHeight="1" s="163">
      <c r="A373" s="97" t="n"/>
    </row>
    <row r="374" ht="15.75" customHeight="1" s="163">
      <c r="A374" s="97" t="n"/>
    </row>
    <row r="375" ht="15.75" customHeight="1" s="163">
      <c r="A375" s="97" t="n"/>
    </row>
    <row r="376" ht="15.75" customHeight="1" s="163">
      <c r="A376" s="97" t="n"/>
    </row>
    <row r="377" ht="15.75" customHeight="1" s="163">
      <c r="A377" s="97" t="n"/>
    </row>
    <row r="378" ht="15.75" customHeight="1" s="163">
      <c r="A378" s="97" t="n"/>
    </row>
    <row r="379" ht="15.75" customHeight="1" s="163">
      <c r="A379" s="97" t="n"/>
    </row>
    <row r="380" ht="15.75" customHeight="1" s="163">
      <c r="A380" s="97" t="n"/>
    </row>
    <row r="381" ht="15.75" customHeight="1" s="163">
      <c r="A381" s="97" t="n"/>
    </row>
    <row r="382" ht="15.75" customHeight="1" s="163">
      <c r="A382" s="97" t="n"/>
    </row>
    <row r="383" ht="15.75" customHeight="1" s="163">
      <c r="A383" s="97" t="n"/>
    </row>
    <row r="384" ht="15.75" customHeight="1" s="163">
      <c r="A384" s="97" t="n"/>
    </row>
    <row r="385" ht="15.75" customHeight="1" s="163">
      <c r="A385" s="97" t="n"/>
    </row>
    <row r="386" ht="15.75" customHeight="1" s="163">
      <c r="A386" s="97" t="n"/>
    </row>
    <row r="387" ht="15.75" customHeight="1" s="163">
      <c r="A387" s="97" t="n"/>
    </row>
    <row r="388" ht="15.75" customHeight="1" s="163">
      <c r="A388" s="97" t="n"/>
    </row>
    <row r="389" ht="15.75" customHeight="1" s="163">
      <c r="A389" s="97" t="n"/>
    </row>
    <row r="390" ht="15.75" customHeight="1" s="163">
      <c r="A390" s="97" t="n"/>
    </row>
    <row r="391" ht="15.75" customHeight="1" s="163">
      <c r="A391" s="97" t="n"/>
    </row>
    <row r="392" ht="15.75" customHeight="1" s="163">
      <c r="A392" s="97" t="n"/>
    </row>
    <row r="393" ht="15.75" customHeight="1" s="163">
      <c r="A393" s="97" t="n"/>
    </row>
    <row r="394" ht="15.75" customHeight="1" s="163">
      <c r="A394" s="97" t="n"/>
    </row>
    <row r="395" ht="15.75" customHeight="1" s="163">
      <c r="A395" s="97" t="n"/>
    </row>
    <row r="396" ht="15.75" customHeight="1" s="163">
      <c r="A396" s="97" t="n"/>
    </row>
    <row r="397" ht="15.75" customHeight="1" s="163">
      <c r="A397" s="97" t="n"/>
    </row>
    <row r="398" ht="15.75" customHeight="1" s="163">
      <c r="A398" s="97" t="n"/>
    </row>
    <row r="399" ht="15.75" customHeight="1" s="163">
      <c r="A399" s="97" t="n"/>
    </row>
    <row r="400" ht="15.75" customHeight="1" s="163">
      <c r="A400" s="97" t="n"/>
    </row>
    <row r="401" ht="15.75" customHeight="1" s="163">
      <c r="A401" s="97" t="n"/>
    </row>
    <row r="402" ht="15.75" customHeight="1" s="163">
      <c r="A402" s="97" t="n"/>
    </row>
    <row r="403" ht="15.75" customHeight="1" s="163">
      <c r="A403" s="97" t="n"/>
    </row>
    <row r="404" ht="15.75" customHeight="1" s="163">
      <c r="A404" s="97" t="n"/>
    </row>
    <row r="405" ht="15.75" customHeight="1" s="163">
      <c r="A405" s="97" t="n"/>
    </row>
    <row r="406" ht="15.75" customHeight="1" s="163">
      <c r="A406" s="97" t="n"/>
    </row>
    <row r="407" ht="15.75" customHeight="1" s="163">
      <c r="A407" s="97" t="n"/>
    </row>
    <row r="408" ht="15.75" customHeight="1" s="163">
      <c r="A408" s="97" t="n"/>
    </row>
    <row r="409" ht="15.75" customHeight="1" s="163">
      <c r="A409" s="97" t="n"/>
    </row>
    <row r="410" ht="15.75" customHeight="1" s="163">
      <c r="A410" s="97" t="n"/>
    </row>
    <row r="411" ht="15.75" customHeight="1" s="163">
      <c r="A411" s="97" t="n"/>
    </row>
    <row r="412" ht="15.75" customHeight="1" s="163">
      <c r="A412" s="97" t="n"/>
    </row>
    <row r="413" ht="15.75" customHeight="1" s="163">
      <c r="A413" s="97" t="n"/>
    </row>
    <row r="414" ht="15.75" customHeight="1" s="163">
      <c r="A414" s="97" t="n"/>
    </row>
    <row r="415" ht="15.75" customHeight="1" s="163">
      <c r="A415" s="97" t="n"/>
    </row>
    <row r="416" ht="15.75" customHeight="1" s="163">
      <c r="A416" s="97" t="n"/>
    </row>
    <row r="417" ht="15.75" customHeight="1" s="163">
      <c r="A417" s="97" t="n"/>
    </row>
    <row r="418" ht="15.75" customHeight="1" s="163">
      <c r="A418" s="97" t="n"/>
    </row>
    <row r="419" ht="15.75" customHeight="1" s="163">
      <c r="A419" s="97" t="n"/>
    </row>
    <row r="420" ht="15.75" customHeight="1" s="163">
      <c r="A420" s="97" t="n"/>
    </row>
    <row r="421" ht="15.75" customHeight="1" s="163">
      <c r="A421" s="97" t="n"/>
    </row>
    <row r="422" ht="15.75" customHeight="1" s="163">
      <c r="A422" s="97" t="n"/>
    </row>
    <row r="423" ht="15.75" customHeight="1" s="163">
      <c r="A423" s="97" t="n"/>
    </row>
    <row r="424" ht="15.75" customHeight="1" s="163">
      <c r="A424" s="97" t="n"/>
    </row>
    <row r="425" ht="15.75" customHeight="1" s="163">
      <c r="A425" s="97" t="n"/>
    </row>
    <row r="426" ht="15.75" customHeight="1" s="163">
      <c r="A426" s="97" t="n"/>
    </row>
    <row r="427" ht="15.75" customHeight="1" s="163">
      <c r="A427" s="97" t="n"/>
    </row>
    <row r="428" ht="15.75" customHeight="1" s="163">
      <c r="A428" s="97" t="n"/>
    </row>
    <row r="429" ht="15.75" customHeight="1" s="163">
      <c r="A429" s="97" t="n"/>
    </row>
    <row r="430" ht="15.75" customHeight="1" s="163">
      <c r="A430" s="97" t="n"/>
    </row>
    <row r="431" ht="15.75" customHeight="1" s="163">
      <c r="A431" s="97" t="n"/>
    </row>
    <row r="432" ht="15.75" customHeight="1" s="163">
      <c r="A432" s="97" t="n"/>
    </row>
    <row r="433" ht="15.75" customHeight="1" s="163">
      <c r="A433" s="97" t="n"/>
    </row>
    <row r="434" ht="15.75" customHeight="1" s="163">
      <c r="A434" s="97" t="n"/>
    </row>
    <row r="435" ht="15.75" customHeight="1" s="163">
      <c r="A435" s="97" t="n"/>
    </row>
    <row r="436" ht="15.75" customHeight="1" s="163">
      <c r="A436" s="97" t="n"/>
    </row>
    <row r="437" ht="15.75" customHeight="1" s="163">
      <c r="A437" s="97" t="n"/>
    </row>
    <row r="438" ht="15.75" customHeight="1" s="163">
      <c r="A438" s="97" t="n"/>
    </row>
    <row r="439" ht="15.75" customHeight="1" s="163">
      <c r="A439" s="97" t="n"/>
    </row>
    <row r="440" ht="15.75" customHeight="1" s="163">
      <c r="A440" s="97" t="n"/>
    </row>
    <row r="441" ht="15.75" customHeight="1" s="163">
      <c r="A441" s="97" t="n"/>
    </row>
    <row r="442" ht="15.75" customHeight="1" s="163">
      <c r="A442" s="97" t="n"/>
    </row>
    <row r="443" ht="15.75" customHeight="1" s="163">
      <c r="A443" s="97" t="n"/>
    </row>
    <row r="444" ht="15.75" customHeight="1" s="163">
      <c r="A444" s="97" t="n"/>
    </row>
    <row r="445" ht="15.75" customHeight="1" s="163">
      <c r="A445" s="97" t="n"/>
    </row>
    <row r="446" ht="15.75" customHeight="1" s="163">
      <c r="A446" s="97" t="n"/>
    </row>
    <row r="447" ht="15.75" customHeight="1" s="163">
      <c r="A447" s="97" t="n"/>
    </row>
    <row r="448" ht="15.75" customHeight="1" s="163">
      <c r="A448" s="97" t="n"/>
    </row>
    <row r="449" ht="15.75" customHeight="1" s="163">
      <c r="A449" s="97" t="n"/>
    </row>
    <row r="450" ht="15.75" customHeight="1" s="163">
      <c r="A450" s="97" t="n"/>
    </row>
    <row r="451" ht="15.75" customHeight="1" s="163">
      <c r="A451" s="97" t="n"/>
    </row>
    <row r="452" ht="15.75" customHeight="1" s="163">
      <c r="A452" s="97" t="n"/>
    </row>
    <row r="453" ht="15.75" customHeight="1" s="163">
      <c r="A453" s="97" t="n"/>
    </row>
    <row r="454" ht="15.75" customHeight="1" s="163">
      <c r="A454" s="97" t="n"/>
    </row>
    <row r="455" ht="15.75" customHeight="1" s="163">
      <c r="A455" s="97" t="n"/>
    </row>
    <row r="456" ht="15.75" customHeight="1" s="163">
      <c r="A456" s="97" t="n"/>
    </row>
    <row r="457" ht="15.75" customHeight="1" s="163">
      <c r="A457" s="97" t="n"/>
    </row>
    <row r="458" ht="15.75" customHeight="1" s="163">
      <c r="A458" s="97" t="n"/>
    </row>
    <row r="459" ht="15.75" customHeight="1" s="163">
      <c r="A459" s="97" t="n"/>
    </row>
    <row r="460" ht="15.75" customHeight="1" s="163">
      <c r="A460" s="97" t="n"/>
    </row>
    <row r="461" ht="15.75" customHeight="1" s="163">
      <c r="A461" s="97" t="n"/>
    </row>
    <row r="462" ht="15.75" customHeight="1" s="163">
      <c r="A462" s="97" t="n"/>
    </row>
    <row r="463" ht="15.75" customHeight="1" s="163">
      <c r="A463" s="97" t="n"/>
    </row>
    <row r="464" ht="15.75" customHeight="1" s="163">
      <c r="A464" s="97" t="n"/>
    </row>
    <row r="465" ht="15.75" customHeight="1" s="163">
      <c r="A465" s="97" t="n"/>
    </row>
    <row r="466" ht="15.75" customHeight="1" s="163">
      <c r="A466" s="97" t="n"/>
    </row>
    <row r="467" ht="15.75" customHeight="1" s="163">
      <c r="A467" s="97" t="n"/>
    </row>
    <row r="468" ht="15.75" customHeight="1" s="163">
      <c r="A468" s="97" t="n"/>
    </row>
    <row r="469" ht="15.75" customHeight="1" s="163">
      <c r="A469" s="97" t="n"/>
    </row>
    <row r="470" ht="15.75" customHeight="1" s="163">
      <c r="A470" s="97" t="n"/>
    </row>
    <row r="471" ht="15.75" customHeight="1" s="163">
      <c r="A471" s="97" t="n"/>
    </row>
    <row r="472" ht="15.75" customHeight="1" s="163">
      <c r="A472" s="97" t="n"/>
    </row>
    <row r="473" ht="15.75" customHeight="1" s="163">
      <c r="A473" s="97" t="n"/>
    </row>
    <row r="474" ht="15.75" customHeight="1" s="163">
      <c r="A474" s="97" t="n"/>
    </row>
    <row r="475" ht="15.75" customHeight="1" s="163">
      <c r="A475" s="97" t="n"/>
    </row>
    <row r="476" ht="15.75" customHeight="1" s="163">
      <c r="A476" s="97" t="n"/>
    </row>
    <row r="477" ht="15.75" customHeight="1" s="163">
      <c r="A477" s="97" t="n"/>
    </row>
    <row r="478" ht="15.75" customHeight="1" s="163">
      <c r="A478" s="97" t="n"/>
    </row>
    <row r="479" ht="15.75" customHeight="1" s="163">
      <c r="A479" s="97" t="n"/>
    </row>
    <row r="480" ht="15.75" customHeight="1" s="163">
      <c r="A480" s="97" t="n"/>
    </row>
    <row r="481" ht="15.75" customHeight="1" s="163">
      <c r="A481" s="97" t="n"/>
    </row>
    <row r="482" ht="15.75" customHeight="1" s="163">
      <c r="A482" s="97" t="n"/>
    </row>
    <row r="483" ht="15.75" customHeight="1" s="163">
      <c r="A483" s="97" t="n"/>
    </row>
    <row r="484" ht="15.75" customHeight="1" s="163">
      <c r="A484" s="97" t="n"/>
    </row>
    <row r="485" ht="15.75" customHeight="1" s="163">
      <c r="A485" s="97" t="n"/>
    </row>
    <row r="486" ht="15.75" customHeight="1" s="163">
      <c r="A486" s="97" t="n"/>
    </row>
    <row r="487" ht="15.75" customHeight="1" s="163">
      <c r="A487" s="97" t="n"/>
    </row>
    <row r="488" ht="15.75" customHeight="1" s="163">
      <c r="A488" s="97" t="n"/>
    </row>
    <row r="489" ht="15.75" customHeight="1" s="163">
      <c r="A489" s="97" t="n"/>
    </row>
    <row r="490" ht="15.75" customHeight="1" s="163">
      <c r="A490" s="97" t="n"/>
    </row>
    <row r="491" ht="15.75" customHeight="1" s="163">
      <c r="A491" s="97" t="n"/>
    </row>
    <row r="492" ht="15.75" customHeight="1" s="163">
      <c r="A492" s="97" t="n"/>
    </row>
    <row r="493" ht="15.75" customHeight="1" s="163">
      <c r="A493" s="97" t="n"/>
    </row>
    <row r="494" ht="15.75" customHeight="1" s="163">
      <c r="A494" s="97" t="n"/>
    </row>
    <row r="495" ht="15.75" customHeight="1" s="163">
      <c r="A495" s="97" t="n"/>
    </row>
    <row r="496" ht="15.75" customHeight="1" s="163">
      <c r="A496" s="97" t="n"/>
    </row>
    <row r="497" ht="15.75" customHeight="1" s="163">
      <c r="A497" s="97" t="n"/>
    </row>
    <row r="498" ht="15.75" customHeight="1" s="163">
      <c r="A498" s="97" t="n"/>
    </row>
    <row r="499" ht="15.75" customHeight="1" s="163">
      <c r="A499" s="97" t="n"/>
    </row>
    <row r="500" ht="15.75" customHeight="1" s="163">
      <c r="A500" s="97" t="n"/>
    </row>
    <row r="501" ht="15.75" customHeight="1" s="163">
      <c r="A501" s="97" t="n"/>
    </row>
    <row r="502" ht="15.75" customHeight="1" s="163">
      <c r="A502" s="97" t="n"/>
    </row>
    <row r="503" ht="15.75" customHeight="1" s="163">
      <c r="A503" s="97" t="n"/>
    </row>
    <row r="504" ht="15.75" customHeight="1" s="163">
      <c r="A504" s="97" t="n"/>
    </row>
    <row r="505" ht="15.75" customHeight="1" s="163">
      <c r="A505" s="97" t="n"/>
    </row>
    <row r="506" ht="15.75" customHeight="1" s="163">
      <c r="A506" s="97" t="n"/>
    </row>
    <row r="507" ht="15.75" customHeight="1" s="163">
      <c r="A507" s="97" t="n"/>
    </row>
    <row r="508" ht="15.75" customHeight="1" s="163">
      <c r="A508" s="97" t="n"/>
    </row>
    <row r="509" ht="15.75" customHeight="1" s="163">
      <c r="A509" s="97" t="n"/>
    </row>
    <row r="510" ht="15.75" customHeight="1" s="163">
      <c r="A510" s="97" t="n"/>
    </row>
    <row r="511" ht="15.75" customHeight="1" s="163">
      <c r="A511" s="97" t="n"/>
    </row>
    <row r="512" ht="15.75" customHeight="1" s="163">
      <c r="A512" s="97" t="n"/>
    </row>
    <row r="513" ht="15.75" customHeight="1" s="163">
      <c r="A513" s="97" t="n"/>
    </row>
    <row r="514" ht="15.75" customHeight="1" s="163">
      <c r="A514" s="97" t="n"/>
    </row>
    <row r="515" ht="15.75" customHeight="1" s="163">
      <c r="A515" s="97" t="n"/>
    </row>
    <row r="516" ht="15.75" customHeight="1" s="163">
      <c r="A516" s="97" t="n"/>
    </row>
    <row r="517" ht="15.75" customHeight="1" s="163">
      <c r="A517" s="97" t="n"/>
    </row>
    <row r="518" ht="15.75" customHeight="1" s="163">
      <c r="A518" s="97" t="n"/>
    </row>
    <row r="519" ht="15.75" customHeight="1" s="163">
      <c r="A519" s="97" t="n"/>
    </row>
    <row r="520" ht="15.75" customHeight="1" s="163">
      <c r="A520" s="97" t="n"/>
    </row>
    <row r="521" ht="15.75" customHeight="1" s="163">
      <c r="A521" s="97" t="n"/>
    </row>
    <row r="522" ht="15.75" customHeight="1" s="163">
      <c r="A522" s="97" t="n"/>
    </row>
    <row r="523" ht="15.75" customHeight="1" s="163">
      <c r="A523" s="97" t="n"/>
    </row>
    <row r="524" ht="15.75" customHeight="1" s="163">
      <c r="A524" s="97" t="n"/>
    </row>
    <row r="525" ht="15.75" customHeight="1" s="163">
      <c r="A525" s="97" t="n"/>
    </row>
    <row r="526" ht="15.75" customHeight="1" s="163">
      <c r="A526" s="97" t="n"/>
    </row>
    <row r="527" ht="15.75" customHeight="1" s="163">
      <c r="A527" s="97" t="n"/>
    </row>
    <row r="528" ht="15.75" customHeight="1" s="163">
      <c r="A528" s="97" t="n"/>
    </row>
    <row r="529" ht="15.75" customHeight="1" s="163">
      <c r="A529" s="97" t="n"/>
    </row>
    <row r="530" ht="15.75" customHeight="1" s="163">
      <c r="A530" s="97" t="n"/>
    </row>
    <row r="531" ht="15.75" customHeight="1" s="163">
      <c r="A531" s="97" t="n"/>
    </row>
    <row r="532" ht="15.75" customHeight="1" s="163">
      <c r="A532" s="97" t="n"/>
    </row>
    <row r="533" ht="15.75" customHeight="1" s="163">
      <c r="A533" s="97" t="n"/>
    </row>
    <row r="534" ht="15.75" customHeight="1" s="163">
      <c r="A534" s="97" t="n"/>
    </row>
    <row r="535" ht="15.75" customHeight="1" s="163">
      <c r="A535" s="97" t="n"/>
    </row>
    <row r="536" ht="15.75" customHeight="1" s="163">
      <c r="A536" s="97" t="n"/>
    </row>
    <row r="537" ht="15.75" customHeight="1" s="163">
      <c r="A537" s="97" t="n"/>
    </row>
    <row r="538" ht="15.75" customHeight="1" s="163">
      <c r="A538" s="97" t="n"/>
    </row>
    <row r="539" ht="15.75" customHeight="1" s="163">
      <c r="A539" s="97" t="n"/>
    </row>
    <row r="540" ht="15.75" customHeight="1" s="163">
      <c r="A540" s="97" t="n"/>
    </row>
    <row r="541" ht="15.75" customHeight="1" s="163">
      <c r="A541" s="97" t="n"/>
    </row>
    <row r="542" ht="15.75" customHeight="1" s="163">
      <c r="A542" s="97" t="n"/>
    </row>
    <row r="543" ht="15.75" customHeight="1" s="163">
      <c r="A543" s="97" t="n"/>
    </row>
    <row r="544" ht="15.75" customHeight="1" s="163">
      <c r="A544" s="97" t="n"/>
    </row>
    <row r="545" ht="15.75" customHeight="1" s="163">
      <c r="A545" s="97" t="n"/>
    </row>
    <row r="546" ht="15.75" customHeight="1" s="163">
      <c r="A546" s="97" t="n"/>
    </row>
    <row r="547" ht="15.75" customHeight="1" s="163">
      <c r="A547" s="97" t="n"/>
    </row>
    <row r="548" ht="15.75" customHeight="1" s="163">
      <c r="A548" s="97" t="n"/>
    </row>
    <row r="549" ht="15.75" customHeight="1" s="163">
      <c r="A549" s="97" t="n"/>
    </row>
    <row r="550" ht="15.75" customHeight="1" s="163">
      <c r="A550" s="97" t="n"/>
    </row>
    <row r="551" ht="15.75" customHeight="1" s="163">
      <c r="A551" s="97" t="n"/>
    </row>
    <row r="552" ht="15.75" customHeight="1" s="163">
      <c r="A552" s="97" t="n"/>
    </row>
    <row r="553" ht="15.75" customHeight="1" s="163">
      <c r="A553" s="97" t="n"/>
    </row>
    <row r="554" ht="15.75" customHeight="1" s="163">
      <c r="A554" s="97" t="n"/>
    </row>
    <row r="555" ht="15.75" customHeight="1" s="163">
      <c r="A555" s="97" t="n"/>
    </row>
    <row r="556" ht="15.75" customHeight="1" s="163">
      <c r="A556" s="97" t="n"/>
    </row>
    <row r="557" ht="15.75" customHeight="1" s="163">
      <c r="A557" s="97" t="n"/>
    </row>
    <row r="558" ht="15.75" customHeight="1" s="163">
      <c r="A558" s="97" t="n"/>
    </row>
    <row r="559" ht="15.75" customHeight="1" s="163">
      <c r="A559" s="97" t="n"/>
    </row>
    <row r="560" ht="15.75" customHeight="1" s="163">
      <c r="A560" s="97" t="n"/>
    </row>
    <row r="561" ht="15.75" customHeight="1" s="163">
      <c r="A561" s="97" t="n"/>
    </row>
    <row r="562" ht="15.75" customHeight="1" s="163">
      <c r="A562" s="97" t="n"/>
    </row>
    <row r="563" ht="15.75" customHeight="1" s="163">
      <c r="A563" s="97" t="n"/>
    </row>
    <row r="564" ht="15.75" customHeight="1" s="163">
      <c r="A564" s="97" t="n"/>
    </row>
    <row r="565" ht="15.75" customHeight="1" s="163">
      <c r="A565" s="97" t="n"/>
    </row>
    <row r="566" ht="15.75" customHeight="1" s="163">
      <c r="A566" s="97" t="n"/>
    </row>
    <row r="567" ht="15.75" customHeight="1" s="163">
      <c r="A567" s="97" t="n"/>
    </row>
    <row r="568" ht="15.75" customHeight="1" s="163">
      <c r="A568" s="97" t="n"/>
    </row>
    <row r="569" ht="15.75" customHeight="1" s="163">
      <c r="A569" s="97" t="n"/>
    </row>
    <row r="570" ht="15.75" customHeight="1" s="163">
      <c r="A570" s="97" t="n"/>
    </row>
    <row r="571" ht="15.75" customHeight="1" s="163">
      <c r="A571" s="97" t="n"/>
    </row>
    <row r="572" ht="15.75" customHeight="1" s="163">
      <c r="A572" s="97" t="n"/>
    </row>
    <row r="573" ht="15.75" customHeight="1" s="163">
      <c r="A573" s="97" t="n"/>
    </row>
    <row r="574" ht="15.75" customHeight="1" s="163">
      <c r="A574" s="97" t="n"/>
    </row>
    <row r="575" ht="15.75" customHeight="1" s="163">
      <c r="A575" s="97" t="n"/>
    </row>
    <row r="576" ht="15.75" customHeight="1" s="163">
      <c r="A576" s="97" t="n"/>
    </row>
    <row r="577" ht="15.75" customHeight="1" s="163">
      <c r="A577" s="97" t="n"/>
    </row>
    <row r="578" ht="15.75" customHeight="1" s="163">
      <c r="A578" s="97" t="n"/>
    </row>
    <row r="579" ht="15.75" customHeight="1" s="163">
      <c r="A579" s="97" t="n"/>
    </row>
    <row r="580" ht="15.75" customHeight="1" s="163">
      <c r="A580" s="97" t="n"/>
    </row>
    <row r="581" ht="15.75" customHeight="1" s="163">
      <c r="A581" s="97" t="n"/>
    </row>
    <row r="582" ht="15.75" customHeight="1" s="163">
      <c r="A582" s="97" t="n"/>
    </row>
    <row r="583" ht="15.75" customHeight="1" s="163">
      <c r="A583" s="97" t="n"/>
    </row>
    <row r="584" ht="15.75" customHeight="1" s="163">
      <c r="A584" s="97" t="n"/>
    </row>
    <row r="585" ht="15.75" customHeight="1" s="163">
      <c r="A585" s="97" t="n"/>
    </row>
    <row r="586" ht="15.75" customHeight="1" s="163">
      <c r="A586" s="97" t="n"/>
    </row>
    <row r="587" ht="15.75" customHeight="1" s="163">
      <c r="A587" s="97" t="n"/>
    </row>
    <row r="588" ht="15.75" customHeight="1" s="163">
      <c r="A588" s="97" t="n"/>
    </row>
    <row r="589" ht="15.75" customHeight="1" s="163">
      <c r="A589" s="97" t="n"/>
    </row>
    <row r="590" ht="15.75" customHeight="1" s="163">
      <c r="A590" s="97" t="n"/>
    </row>
    <row r="591" ht="15.75" customHeight="1" s="163">
      <c r="A591" s="97" t="n"/>
    </row>
    <row r="592" ht="15.75" customHeight="1" s="163">
      <c r="A592" s="97" t="n"/>
    </row>
    <row r="593" ht="15.75" customHeight="1" s="163">
      <c r="A593" s="97" t="n"/>
    </row>
    <row r="594" ht="15.75" customHeight="1" s="163">
      <c r="A594" s="97" t="n"/>
    </row>
    <row r="595" ht="15.75" customHeight="1" s="163">
      <c r="A595" s="97" t="n"/>
    </row>
    <row r="596" ht="15.75" customHeight="1" s="163">
      <c r="A596" s="97" t="n"/>
    </row>
    <row r="597" ht="15.75" customHeight="1" s="163">
      <c r="A597" s="97" t="n"/>
    </row>
    <row r="598" ht="15.75" customHeight="1" s="163">
      <c r="A598" s="97" t="n"/>
    </row>
    <row r="599" ht="15.75" customHeight="1" s="163">
      <c r="A599" s="97" t="n"/>
    </row>
    <row r="600" ht="15.75" customHeight="1" s="163">
      <c r="A600" s="97" t="n"/>
    </row>
    <row r="601" ht="15.75" customHeight="1" s="163">
      <c r="A601" s="97" t="n"/>
    </row>
    <row r="602" ht="15.75" customHeight="1" s="163">
      <c r="A602" s="97" t="n"/>
    </row>
    <row r="603" ht="15.75" customHeight="1" s="163">
      <c r="A603" s="97" t="n"/>
    </row>
    <row r="604" ht="15.75" customHeight="1" s="163">
      <c r="A604" s="97" t="n"/>
    </row>
    <row r="605" ht="15.75" customHeight="1" s="163">
      <c r="A605" s="97" t="n"/>
    </row>
    <row r="606" ht="15.75" customHeight="1" s="163">
      <c r="A606" s="97" t="n"/>
    </row>
    <row r="607" ht="15.75" customHeight="1" s="163">
      <c r="A607" s="97" t="n"/>
    </row>
    <row r="608" ht="15.75" customHeight="1" s="163">
      <c r="A608" s="97" t="n"/>
    </row>
    <row r="609" ht="15.75" customHeight="1" s="163">
      <c r="A609" s="97" t="n"/>
    </row>
    <row r="610" ht="15.75" customHeight="1" s="163">
      <c r="A610" s="97" t="n"/>
    </row>
    <row r="611" ht="15.75" customHeight="1" s="163">
      <c r="A611" s="97" t="n"/>
    </row>
    <row r="612" ht="15.75" customHeight="1" s="163">
      <c r="A612" s="97" t="n"/>
    </row>
    <row r="613" ht="15.75" customHeight="1" s="163">
      <c r="A613" s="97" t="n"/>
    </row>
    <row r="614" ht="15.75" customHeight="1" s="163">
      <c r="A614" s="97" t="n"/>
    </row>
    <row r="615" ht="15.75" customHeight="1" s="163">
      <c r="A615" s="97" t="n"/>
    </row>
    <row r="616" ht="15.75" customHeight="1" s="163">
      <c r="A616" s="97" t="n"/>
    </row>
    <row r="617" ht="15.75" customHeight="1" s="163">
      <c r="A617" s="97" t="n"/>
    </row>
    <row r="618" ht="15.75" customHeight="1" s="163">
      <c r="A618" s="97" t="n"/>
    </row>
    <row r="619" ht="15.75" customHeight="1" s="163">
      <c r="A619" s="97" t="n"/>
    </row>
    <row r="620" ht="15.75" customHeight="1" s="163">
      <c r="A620" s="97" t="n"/>
    </row>
    <row r="621" ht="15.75" customHeight="1" s="163">
      <c r="A621" s="97" t="n"/>
    </row>
    <row r="622" ht="15.75" customHeight="1" s="163">
      <c r="A622" s="97" t="n"/>
    </row>
    <row r="623" ht="15.75" customHeight="1" s="163">
      <c r="A623" s="97" t="n"/>
    </row>
    <row r="624" ht="15.75" customHeight="1" s="163">
      <c r="A624" s="97" t="n"/>
    </row>
    <row r="625" ht="15.75" customHeight="1" s="163">
      <c r="A625" s="97" t="n"/>
    </row>
    <row r="626" ht="15.75" customHeight="1" s="163">
      <c r="A626" s="97" t="n"/>
    </row>
    <row r="627" ht="15.75" customHeight="1" s="163">
      <c r="A627" s="97" t="n"/>
    </row>
    <row r="628" ht="15.75" customHeight="1" s="163">
      <c r="A628" s="97" t="n"/>
    </row>
    <row r="629" ht="15.75" customHeight="1" s="163">
      <c r="A629" s="97" t="n"/>
    </row>
    <row r="630" ht="15.75" customHeight="1" s="163">
      <c r="A630" s="97" t="n"/>
    </row>
    <row r="631" ht="15.75" customHeight="1" s="163">
      <c r="A631" s="97" t="n"/>
    </row>
    <row r="632" ht="15.75" customHeight="1" s="163">
      <c r="A632" s="97" t="n"/>
    </row>
    <row r="633" ht="15.75" customHeight="1" s="163">
      <c r="A633" s="97" t="n"/>
    </row>
    <row r="634" ht="15.75" customHeight="1" s="163">
      <c r="A634" s="97" t="n"/>
    </row>
    <row r="635" ht="15.75" customHeight="1" s="163">
      <c r="A635" s="97" t="n"/>
    </row>
    <row r="636" ht="15.75" customHeight="1" s="163">
      <c r="A636" s="97" t="n"/>
    </row>
    <row r="637" ht="15.75" customHeight="1" s="163">
      <c r="A637" s="97" t="n"/>
    </row>
    <row r="638" ht="15.75" customHeight="1" s="163">
      <c r="A638" s="97" t="n"/>
    </row>
    <row r="639" ht="15.75" customHeight="1" s="163">
      <c r="A639" s="97" t="n"/>
    </row>
    <row r="640" ht="15.75" customHeight="1" s="163">
      <c r="A640" s="97" t="n"/>
    </row>
    <row r="641" ht="15.75" customHeight="1" s="163">
      <c r="A641" s="97" t="n"/>
    </row>
    <row r="642" ht="15.75" customHeight="1" s="163">
      <c r="A642" s="97" t="n"/>
    </row>
    <row r="643" ht="15.75" customHeight="1" s="163">
      <c r="A643" s="97" t="n"/>
    </row>
    <row r="644" ht="15.75" customHeight="1" s="163">
      <c r="A644" s="97" t="n"/>
    </row>
    <row r="645" ht="15.75" customHeight="1" s="163">
      <c r="A645" s="97" t="n"/>
    </row>
    <row r="646" ht="15.75" customHeight="1" s="163">
      <c r="A646" s="97" t="n"/>
    </row>
    <row r="647" ht="15.75" customHeight="1" s="163">
      <c r="A647" s="97" t="n"/>
    </row>
    <row r="648" ht="15.75" customHeight="1" s="163">
      <c r="A648" s="97" t="n"/>
    </row>
    <row r="649" ht="15.75" customHeight="1" s="163">
      <c r="A649" s="97" t="n"/>
    </row>
    <row r="650" ht="15.75" customHeight="1" s="163">
      <c r="A650" s="97" t="n"/>
    </row>
    <row r="651" ht="15.75" customHeight="1" s="163">
      <c r="A651" s="97" t="n"/>
    </row>
    <row r="652" ht="15.75" customHeight="1" s="163">
      <c r="A652" s="97" t="n"/>
    </row>
    <row r="653" ht="15.75" customHeight="1" s="163">
      <c r="A653" s="97" t="n"/>
    </row>
    <row r="654" ht="15.75" customHeight="1" s="163">
      <c r="A654" s="97" t="n"/>
    </row>
    <row r="655" ht="15.75" customHeight="1" s="163">
      <c r="A655" s="97" t="n"/>
    </row>
    <row r="656" ht="15.75" customHeight="1" s="163">
      <c r="A656" s="97" t="n"/>
    </row>
    <row r="657" ht="15.75" customHeight="1" s="163">
      <c r="A657" s="97" t="n"/>
    </row>
    <row r="658" ht="15.75" customHeight="1" s="163">
      <c r="A658" s="97" t="n"/>
    </row>
    <row r="659" ht="15.75" customHeight="1" s="163">
      <c r="A659" s="97" t="n"/>
    </row>
    <row r="660" ht="15.75" customHeight="1" s="163">
      <c r="A660" s="97" t="n"/>
    </row>
    <row r="661" ht="15.75" customHeight="1" s="163">
      <c r="A661" s="97" t="n"/>
    </row>
    <row r="662" ht="15.75" customHeight="1" s="163">
      <c r="A662" s="97" t="n"/>
    </row>
    <row r="663" ht="15.75" customHeight="1" s="163">
      <c r="A663" s="97" t="n"/>
    </row>
    <row r="664" ht="15.75" customHeight="1" s="163">
      <c r="A664" s="97" t="n"/>
    </row>
    <row r="665" ht="15.75" customHeight="1" s="163">
      <c r="A665" s="97" t="n"/>
    </row>
    <row r="666" ht="15.75" customHeight="1" s="163">
      <c r="A666" s="97" t="n"/>
    </row>
    <row r="667" ht="15.75" customHeight="1" s="163">
      <c r="A667" s="97" t="n"/>
    </row>
    <row r="668" ht="15.75" customHeight="1" s="163">
      <c r="A668" s="97" t="n"/>
    </row>
    <row r="669" ht="15.75" customHeight="1" s="163">
      <c r="A669" s="97" t="n"/>
    </row>
    <row r="670" ht="15.75" customHeight="1" s="163">
      <c r="A670" s="97" t="n"/>
    </row>
    <row r="671" ht="15.75" customHeight="1" s="163">
      <c r="A671" s="97" t="n"/>
    </row>
    <row r="672" ht="15.75" customHeight="1" s="163">
      <c r="A672" s="97" t="n"/>
    </row>
    <row r="673" ht="15.75" customHeight="1" s="163">
      <c r="A673" s="97" t="n"/>
    </row>
    <row r="674" ht="15.75" customHeight="1" s="163">
      <c r="A674" s="97" t="n"/>
    </row>
    <row r="675" ht="15.75" customHeight="1" s="163">
      <c r="A675" s="97" t="n"/>
    </row>
    <row r="676" ht="15.75" customHeight="1" s="163">
      <c r="A676" s="97" t="n"/>
    </row>
    <row r="677" ht="15.75" customHeight="1" s="163">
      <c r="A677" s="97" t="n"/>
    </row>
    <row r="678" ht="15.75" customHeight="1" s="163">
      <c r="A678" s="97" t="n"/>
    </row>
    <row r="679" ht="15.75" customHeight="1" s="163">
      <c r="A679" s="97" t="n"/>
    </row>
    <row r="680" ht="15.75" customHeight="1" s="163">
      <c r="A680" s="97" t="n"/>
    </row>
    <row r="681" ht="15.75" customHeight="1" s="163">
      <c r="A681" s="97" t="n"/>
    </row>
    <row r="682" ht="15.75" customHeight="1" s="163">
      <c r="A682" s="97" t="n"/>
    </row>
    <row r="683" ht="15.75" customHeight="1" s="163">
      <c r="A683" s="97" t="n"/>
    </row>
    <row r="684" ht="15.75" customHeight="1" s="163">
      <c r="A684" s="97" t="n"/>
    </row>
    <row r="685" ht="15.75" customHeight="1" s="163">
      <c r="A685" s="97" t="n"/>
    </row>
    <row r="686" ht="15.75" customHeight="1" s="163">
      <c r="A686" s="97" t="n"/>
    </row>
    <row r="687" ht="15.75" customHeight="1" s="163">
      <c r="A687" s="97" t="n"/>
    </row>
    <row r="688" ht="15.75" customHeight="1" s="163">
      <c r="A688" s="97" t="n"/>
    </row>
    <row r="689" ht="15.75" customHeight="1" s="163">
      <c r="A689" s="97" t="n"/>
    </row>
    <row r="690" ht="15.75" customHeight="1" s="163">
      <c r="A690" s="97" t="n"/>
    </row>
    <row r="691" ht="15.75" customHeight="1" s="163">
      <c r="A691" s="97" t="n"/>
    </row>
    <row r="692" ht="15.75" customHeight="1" s="163">
      <c r="A692" s="97" t="n"/>
    </row>
    <row r="693" ht="15.75" customHeight="1" s="163">
      <c r="A693" s="97" t="n"/>
    </row>
    <row r="694" ht="15.75" customHeight="1" s="163">
      <c r="A694" s="97" t="n"/>
    </row>
    <row r="695" ht="15.75" customHeight="1" s="163">
      <c r="A695" s="97" t="n"/>
    </row>
    <row r="696" ht="15.75" customHeight="1" s="163">
      <c r="A696" s="97" t="n"/>
    </row>
    <row r="697" ht="15.75" customHeight="1" s="163">
      <c r="A697" s="97" t="n"/>
    </row>
    <row r="698" ht="15.75" customHeight="1" s="163">
      <c r="A698" s="97" t="n"/>
    </row>
    <row r="699" ht="15.75" customHeight="1" s="163">
      <c r="A699" s="97" t="n"/>
    </row>
    <row r="700" ht="15.75" customHeight="1" s="163">
      <c r="A700" s="97" t="n"/>
    </row>
    <row r="701" ht="15.75" customHeight="1" s="163">
      <c r="A701" s="97" t="n"/>
    </row>
    <row r="702" ht="15.75" customHeight="1" s="163">
      <c r="A702" s="97" t="n"/>
    </row>
    <row r="703" ht="15.75" customHeight="1" s="163">
      <c r="A703" s="97" t="n"/>
    </row>
    <row r="704" ht="15.75" customHeight="1" s="163">
      <c r="A704" s="97" t="n"/>
    </row>
    <row r="705" ht="15.75" customHeight="1" s="163">
      <c r="A705" s="97" t="n"/>
    </row>
    <row r="706" ht="15.75" customHeight="1" s="163">
      <c r="A706" s="97" t="n"/>
    </row>
    <row r="707" ht="15.75" customHeight="1" s="163">
      <c r="A707" s="97" t="n"/>
    </row>
    <row r="708" ht="15.75" customHeight="1" s="163">
      <c r="A708" s="97" t="n"/>
    </row>
    <row r="709" ht="15.75" customHeight="1" s="163">
      <c r="A709" s="97" t="n"/>
    </row>
    <row r="710" ht="15.75" customHeight="1" s="163">
      <c r="A710" s="97" t="n"/>
    </row>
    <row r="711" ht="15.75" customHeight="1" s="163">
      <c r="A711" s="97" t="n"/>
    </row>
    <row r="712" ht="15.75" customHeight="1" s="163">
      <c r="A712" s="97" t="n"/>
    </row>
    <row r="713" ht="15.75" customHeight="1" s="163">
      <c r="A713" s="97" t="n"/>
    </row>
    <row r="714" ht="15.75" customHeight="1" s="163">
      <c r="A714" s="97" t="n"/>
    </row>
    <row r="715" ht="15.75" customHeight="1" s="163">
      <c r="A715" s="97" t="n"/>
    </row>
    <row r="716" ht="15.75" customHeight="1" s="163">
      <c r="A716" s="97" t="n"/>
    </row>
    <row r="717" ht="15.75" customHeight="1" s="163">
      <c r="A717" s="97" t="n"/>
    </row>
    <row r="718" ht="15.75" customHeight="1" s="163">
      <c r="A718" s="97" t="n"/>
    </row>
    <row r="719" ht="15.75" customHeight="1" s="163">
      <c r="A719" s="97" t="n"/>
    </row>
    <row r="720" ht="15.75" customHeight="1" s="163">
      <c r="A720" s="97" t="n"/>
    </row>
    <row r="721" ht="15.75" customHeight="1" s="163">
      <c r="A721" s="97" t="n"/>
    </row>
    <row r="722" ht="15.75" customHeight="1" s="163">
      <c r="A722" s="97" t="n"/>
    </row>
    <row r="723" ht="15.75" customHeight="1" s="163">
      <c r="A723" s="97" t="n"/>
    </row>
    <row r="724" ht="15.75" customHeight="1" s="163">
      <c r="A724" s="97" t="n"/>
    </row>
    <row r="725" ht="15.75" customHeight="1" s="163">
      <c r="A725" s="97" t="n"/>
    </row>
    <row r="726" ht="15.75" customHeight="1" s="163">
      <c r="A726" s="97" t="n"/>
    </row>
    <row r="727" ht="15.75" customHeight="1" s="163">
      <c r="A727" s="97" t="n"/>
    </row>
    <row r="728" ht="15.75" customHeight="1" s="163">
      <c r="A728" s="97" t="n"/>
    </row>
    <row r="729" ht="15.75" customHeight="1" s="163">
      <c r="A729" s="97" t="n"/>
    </row>
    <row r="730" ht="15.75" customHeight="1" s="163">
      <c r="A730" s="97" t="n"/>
    </row>
    <row r="731" ht="15.75" customHeight="1" s="163">
      <c r="A731" s="97" t="n"/>
    </row>
    <row r="732" ht="15.75" customHeight="1" s="163">
      <c r="A732" s="97" t="n"/>
    </row>
    <row r="733" ht="15.75" customHeight="1" s="163">
      <c r="A733" s="97" t="n"/>
    </row>
    <row r="734" ht="15.75" customHeight="1" s="163">
      <c r="A734" s="97" t="n"/>
    </row>
    <row r="735" ht="15.75" customHeight="1" s="163">
      <c r="A735" s="97" t="n"/>
    </row>
    <row r="736" ht="15.75" customHeight="1" s="163">
      <c r="A736" s="97" t="n"/>
    </row>
    <row r="737" ht="15.75" customHeight="1" s="163">
      <c r="A737" s="97" t="n"/>
    </row>
    <row r="738" ht="15.75" customHeight="1" s="163">
      <c r="A738" s="97" t="n"/>
    </row>
    <row r="739" ht="15.75" customHeight="1" s="163">
      <c r="A739" s="97" t="n"/>
    </row>
    <row r="740" ht="15.75" customHeight="1" s="163">
      <c r="A740" s="97" t="n"/>
    </row>
    <row r="741" ht="15.75" customHeight="1" s="163">
      <c r="A741" s="97" t="n"/>
    </row>
    <row r="742" ht="15.75" customHeight="1" s="163">
      <c r="A742" s="97" t="n"/>
    </row>
    <row r="743" ht="15.75" customHeight="1" s="163">
      <c r="A743" s="97" t="n"/>
    </row>
    <row r="744" ht="15.75" customHeight="1" s="163">
      <c r="A744" s="97" t="n"/>
    </row>
    <row r="745" ht="15.75" customHeight="1" s="163">
      <c r="A745" s="97" t="n"/>
    </row>
    <row r="746" ht="15.75" customHeight="1" s="163">
      <c r="A746" s="97" t="n"/>
    </row>
    <row r="747" ht="15.75" customHeight="1" s="163">
      <c r="A747" s="97" t="n"/>
    </row>
    <row r="748" ht="15.75" customHeight="1" s="163">
      <c r="A748" s="97" t="n"/>
    </row>
    <row r="749" ht="15.75" customHeight="1" s="163">
      <c r="A749" s="97" t="n"/>
    </row>
    <row r="750" ht="15.75" customHeight="1" s="163">
      <c r="A750" s="97" t="n"/>
    </row>
    <row r="751" ht="15.75" customHeight="1" s="163">
      <c r="A751" s="97" t="n"/>
    </row>
    <row r="752" ht="15.75" customHeight="1" s="163">
      <c r="A752" s="97" t="n"/>
    </row>
    <row r="753" ht="15.75" customHeight="1" s="163">
      <c r="A753" s="97" t="n"/>
    </row>
    <row r="754" ht="15.75" customHeight="1" s="163">
      <c r="A754" s="97" t="n"/>
    </row>
    <row r="755" ht="15.75" customHeight="1" s="163">
      <c r="A755" s="97" t="n"/>
    </row>
    <row r="756" ht="15.75" customHeight="1" s="163">
      <c r="A756" s="97" t="n"/>
    </row>
    <row r="757" ht="15.75" customHeight="1" s="163">
      <c r="A757" s="97" t="n"/>
    </row>
    <row r="758" ht="15.75" customHeight="1" s="163">
      <c r="A758" s="97" t="n"/>
    </row>
    <row r="759" ht="15.75" customHeight="1" s="163">
      <c r="A759" s="97" t="n"/>
    </row>
    <row r="760" ht="15.75" customHeight="1" s="163">
      <c r="A760" s="97" t="n"/>
    </row>
    <row r="761" ht="15.75" customHeight="1" s="163">
      <c r="A761" s="97" t="n"/>
    </row>
    <row r="762" ht="15.75" customHeight="1" s="163">
      <c r="A762" s="97" t="n"/>
    </row>
    <row r="763" ht="15.75" customHeight="1" s="163">
      <c r="A763" s="97" t="n"/>
    </row>
    <row r="764" ht="15.75" customHeight="1" s="163">
      <c r="A764" s="97" t="n"/>
    </row>
    <row r="765" ht="15.75" customHeight="1" s="163">
      <c r="A765" s="97" t="n"/>
    </row>
    <row r="766" ht="15.75" customHeight="1" s="163">
      <c r="A766" s="97" t="n"/>
    </row>
    <row r="767" ht="15.75" customHeight="1" s="163">
      <c r="A767" s="97" t="n"/>
    </row>
    <row r="768" ht="15.75" customHeight="1" s="163">
      <c r="A768" s="97" t="n"/>
    </row>
    <row r="769" ht="15.75" customHeight="1" s="163">
      <c r="A769" s="97" t="n"/>
    </row>
    <row r="770" ht="15.75" customHeight="1" s="163">
      <c r="A770" s="97" t="n"/>
    </row>
    <row r="771" ht="15.75" customHeight="1" s="163">
      <c r="A771" s="97" t="n"/>
    </row>
    <row r="772" ht="15.75" customHeight="1" s="163">
      <c r="A772" s="97" t="n"/>
    </row>
    <row r="773" ht="15.75" customHeight="1" s="163">
      <c r="A773" s="97" t="n"/>
    </row>
    <row r="774" ht="15.75" customHeight="1" s="163">
      <c r="A774" s="97" t="n"/>
    </row>
    <row r="775" ht="15.75" customHeight="1" s="163">
      <c r="A775" s="97" t="n"/>
    </row>
    <row r="776" ht="15.75" customHeight="1" s="163">
      <c r="A776" s="97" t="n"/>
    </row>
    <row r="777" ht="15.75" customHeight="1" s="163">
      <c r="A777" s="97" t="n"/>
    </row>
    <row r="778" ht="15.75" customHeight="1" s="163">
      <c r="A778" s="97" t="n"/>
    </row>
    <row r="779" ht="15.75" customHeight="1" s="163">
      <c r="A779" s="97" t="n"/>
    </row>
    <row r="780" ht="15.75" customHeight="1" s="163">
      <c r="A780" s="97" t="n"/>
    </row>
    <row r="781" ht="15.75" customHeight="1" s="163">
      <c r="A781" s="97" t="n"/>
    </row>
    <row r="782" ht="15.75" customHeight="1" s="163">
      <c r="A782" s="97" t="n"/>
    </row>
    <row r="783" ht="15.75" customHeight="1" s="163">
      <c r="A783" s="97" t="n"/>
    </row>
    <row r="784" ht="15.75" customHeight="1" s="163">
      <c r="A784" s="97" t="n"/>
    </row>
    <row r="785" ht="15.75" customHeight="1" s="163">
      <c r="A785" s="97" t="n"/>
    </row>
    <row r="786" ht="15.75" customHeight="1" s="163">
      <c r="A786" s="97" t="n"/>
    </row>
    <row r="787" ht="15.75" customHeight="1" s="163">
      <c r="A787" s="97" t="n"/>
    </row>
    <row r="788" ht="15.75" customHeight="1" s="163">
      <c r="A788" s="97" t="n"/>
    </row>
    <row r="789" ht="15.75" customHeight="1" s="163">
      <c r="A789" s="97" t="n"/>
    </row>
    <row r="790" ht="15.75" customHeight="1" s="163">
      <c r="A790" s="97" t="n"/>
    </row>
    <row r="791" ht="15.75" customHeight="1" s="163">
      <c r="A791" s="97" t="n"/>
    </row>
    <row r="792" ht="15.75" customHeight="1" s="163">
      <c r="A792" s="97" t="n"/>
    </row>
    <row r="793" ht="15.75" customHeight="1" s="163">
      <c r="A793" s="97" t="n"/>
    </row>
    <row r="794" ht="15.75" customHeight="1" s="163">
      <c r="A794" s="97" t="n"/>
    </row>
    <row r="795" ht="15.75" customHeight="1" s="163">
      <c r="A795" s="97" t="n"/>
    </row>
    <row r="796" ht="15.75" customHeight="1" s="163">
      <c r="A796" s="97" t="n"/>
    </row>
    <row r="797" ht="15.75" customHeight="1" s="163">
      <c r="A797" s="97" t="n"/>
    </row>
    <row r="798" ht="15.75" customHeight="1" s="163">
      <c r="A798" s="97" t="n"/>
    </row>
    <row r="799" ht="15.75" customHeight="1" s="163">
      <c r="A799" s="97" t="n"/>
    </row>
    <row r="800" ht="15.75" customHeight="1" s="163">
      <c r="A800" s="97" t="n"/>
    </row>
    <row r="801" ht="15.75" customHeight="1" s="163">
      <c r="A801" s="97" t="n"/>
    </row>
    <row r="802" ht="15.75" customHeight="1" s="163">
      <c r="A802" s="97" t="n"/>
    </row>
    <row r="803" ht="15.75" customHeight="1" s="163">
      <c r="A803" s="97" t="n"/>
    </row>
    <row r="804" ht="15.75" customHeight="1" s="163">
      <c r="A804" s="97" t="n"/>
    </row>
    <row r="805" ht="15.75" customHeight="1" s="163">
      <c r="A805" s="97" t="n"/>
    </row>
    <row r="806" ht="15.75" customHeight="1" s="163">
      <c r="A806" s="97" t="n"/>
    </row>
    <row r="807" ht="15.75" customHeight="1" s="163">
      <c r="A807" s="97" t="n"/>
    </row>
    <row r="808" ht="15.75" customHeight="1" s="163">
      <c r="A808" s="97" t="n"/>
    </row>
    <row r="809" ht="15.75" customHeight="1" s="163">
      <c r="A809" s="97" t="n"/>
    </row>
    <row r="810" ht="15.75" customHeight="1" s="163">
      <c r="A810" s="97" t="n"/>
    </row>
    <row r="811" ht="15.75" customHeight="1" s="163">
      <c r="A811" s="97" t="n"/>
    </row>
    <row r="812" ht="15.75" customHeight="1" s="163">
      <c r="A812" s="97" t="n"/>
    </row>
    <row r="813" ht="15.75" customHeight="1" s="163">
      <c r="A813" s="97" t="n"/>
    </row>
    <row r="814" ht="15.75" customHeight="1" s="163">
      <c r="A814" s="97" t="n"/>
    </row>
    <row r="815" ht="15.75" customHeight="1" s="163">
      <c r="A815" s="97" t="n"/>
    </row>
    <row r="816" ht="15.75" customHeight="1" s="163">
      <c r="A816" s="97" t="n"/>
    </row>
    <row r="817" ht="15.75" customHeight="1" s="163">
      <c r="A817" s="97" t="n"/>
    </row>
    <row r="818" ht="15.75" customHeight="1" s="163">
      <c r="A818" s="97" t="n"/>
    </row>
    <row r="819" ht="15.75" customHeight="1" s="163">
      <c r="A819" s="97" t="n"/>
    </row>
    <row r="820" ht="15.75" customHeight="1" s="163">
      <c r="A820" s="97" t="n"/>
    </row>
    <row r="821" ht="15.75" customHeight="1" s="163">
      <c r="A821" s="97" t="n"/>
    </row>
    <row r="822" ht="15.75" customHeight="1" s="163">
      <c r="A822" s="97" t="n"/>
    </row>
    <row r="823" ht="15.75" customHeight="1" s="163">
      <c r="A823" s="97" t="n"/>
    </row>
    <row r="824" ht="15.75" customHeight="1" s="163">
      <c r="A824" s="97" t="n"/>
    </row>
    <row r="825" ht="15.75" customHeight="1" s="163">
      <c r="A825" s="97" t="n"/>
    </row>
    <row r="826" ht="15.75" customHeight="1" s="163">
      <c r="A826" s="97" t="n"/>
    </row>
    <row r="827" ht="15.75" customHeight="1" s="163">
      <c r="A827" s="97" t="n"/>
    </row>
    <row r="828" ht="15.75" customHeight="1" s="163">
      <c r="A828" s="97" t="n"/>
    </row>
    <row r="829" ht="15.75" customHeight="1" s="163">
      <c r="A829" s="97" t="n"/>
    </row>
    <row r="830" ht="15.75" customHeight="1" s="163">
      <c r="A830" s="97" t="n"/>
    </row>
    <row r="831" ht="15.75" customHeight="1" s="163">
      <c r="A831" s="97" t="n"/>
    </row>
    <row r="832" ht="15.75" customHeight="1" s="163">
      <c r="A832" s="97" t="n"/>
    </row>
    <row r="833" ht="15.75" customHeight="1" s="163">
      <c r="A833" s="97" t="n"/>
    </row>
    <row r="834" ht="15.75" customHeight="1" s="163">
      <c r="A834" s="97" t="n"/>
    </row>
    <row r="835" ht="15.75" customHeight="1" s="163">
      <c r="A835" s="97" t="n"/>
    </row>
    <row r="836" ht="15.75" customHeight="1" s="163">
      <c r="A836" s="97" t="n"/>
    </row>
    <row r="837" ht="15.75" customHeight="1" s="163">
      <c r="A837" s="97" t="n"/>
    </row>
    <row r="838" ht="15.75" customHeight="1" s="163">
      <c r="A838" s="97" t="n"/>
    </row>
    <row r="839" ht="15.75" customHeight="1" s="163">
      <c r="A839" s="97" t="n"/>
    </row>
    <row r="840" ht="15.75" customHeight="1" s="163">
      <c r="A840" s="97" t="n"/>
    </row>
    <row r="841" ht="15.75" customHeight="1" s="163">
      <c r="A841" s="97" t="n"/>
    </row>
    <row r="842" ht="15.75" customHeight="1" s="163">
      <c r="A842" s="97" t="n"/>
    </row>
    <row r="843" ht="15.75" customHeight="1" s="163">
      <c r="A843" s="97" t="n"/>
    </row>
    <row r="844" ht="15.75" customHeight="1" s="163">
      <c r="A844" s="97" t="n"/>
    </row>
    <row r="845" ht="15.75" customHeight="1" s="163">
      <c r="A845" s="97" t="n"/>
    </row>
    <row r="846" ht="15.75" customHeight="1" s="163">
      <c r="A846" s="97" t="n"/>
    </row>
    <row r="847" ht="15.75" customHeight="1" s="163">
      <c r="A847" s="97" t="n"/>
    </row>
    <row r="848" ht="15.75" customHeight="1" s="163">
      <c r="A848" s="97" t="n"/>
    </row>
    <row r="849" ht="15.75" customHeight="1" s="163">
      <c r="A849" s="97" t="n"/>
    </row>
    <row r="850" ht="15.75" customHeight="1" s="163">
      <c r="A850" s="97" t="n"/>
    </row>
    <row r="851" ht="15.75" customHeight="1" s="163">
      <c r="A851" s="97" t="n"/>
    </row>
    <row r="852" ht="15.75" customHeight="1" s="163">
      <c r="A852" s="97" t="n"/>
    </row>
    <row r="853" ht="15.75" customHeight="1" s="163">
      <c r="A853" s="97" t="n"/>
    </row>
    <row r="854" ht="15.75" customHeight="1" s="163">
      <c r="A854" s="97" t="n"/>
    </row>
    <row r="855" ht="15.75" customHeight="1" s="163">
      <c r="A855" s="97" t="n"/>
    </row>
    <row r="856" ht="15.75" customHeight="1" s="163">
      <c r="A856" s="97" t="n"/>
    </row>
    <row r="857" ht="15.75" customHeight="1" s="163">
      <c r="A857" s="97" t="n"/>
    </row>
    <row r="858" ht="15.75" customHeight="1" s="163">
      <c r="A858" s="97" t="n"/>
    </row>
    <row r="859" ht="15.75" customHeight="1" s="163">
      <c r="A859" s="97" t="n"/>
    </row>
    <row r="860" ht="15.75" customHeight="1" s="163">
      <c r="A860" s="97" t="n"/>
    </row>
    <row r="861" ht="15.75" customHeight="1" s="163">
      <c r="A861" s="97" t="n"/>
    </row>
    <row r="862" ht="15.75" customHeight="1" s="163">
      <c r="A862" s="97" t="n"/>
    </row>
    <row r="863" ht="15.75" customHeight="1" s="163">
      <c r="A863" s="97" t="n"/>
    </row>
    <row r="864" ht="15.75" customHeight="1" s="163">
      <c r="A864" s="97" t="n"/>
    </row>
    <row r="865" ht="15.75" customHeight="1" s="163">
      <c r="A865" s="97" t="n"/>
    </row>
    <row r="866" ht="15.75" customHeight="1" s="163">
      <c r="A866" s="97" t="n"/>
    </row>
    <row r="867" ht="15.75" customHeight="1" s="163">
      <c r="A867" s="97" t="n"/>
    </row>
    <row r="868" ht="15.75" customHeight="1" s="163">
      <c r="A868" s="97" t="n"/>
    </row>
    <row r="869" ht="15.75" customHeight="1" s="163">
      <c r="A869" s="97" t="n"/>
    </row>
    <row r="870" ht="15.75" customHeight="1" s="163">
      <c r="A870" s="97" t="n"/>
    </row>
    <row r="871" ht="15.75" customHeight="1" s="163">
      <c r="A871" s="97" t="n"/>
    </row>
    <row r="872" ht="15.75" customHeight="1" s="163">
      <c r="A872" s="97" t="n"/>
    </row>
    <row r="873" ht="15.75" customHeight="1" s="163">
      <c r="A873" s="97" t="n"/>
    </row>
    <row r="874" ht="15.75" customHeight="1" s="163">
      <c r="A874" s="97" t="n"/>
    </row>
    <row r="875" ht="15.75" customHeight="1" s="163">
      <c r="A875" s="97" t="n"/>
    </row>
    <row r="876" ht="15.75" customHeight="1" s="163">
      <c r="A876" s="97" t="n"/>
    </row>
    <row r="877" ht="15.75" customHeight="1" s="163">
      <c r="A877" s="97" t="n"/>
    </row>
    <row r="878" ht="15.75" customHeight="1" s="163">
      <c r="A878" s="97" t="n"/>
    </row>
    <row r="879" ht="15.75" customHeight="1" s="163">
      <c r="A879" s="97" t="n"/>
    </row>
    <row r="880" ht="15.75" customHeight="1" s="163">
      <c r="A880" s="97" t="n"/>
    </row>
    <row r="881" ht="15.75" customHeight="1" s="163">
      <c r="A881" s="97" t="n"/>
    </row>
    <row r="882" ht="15.75" customHeight="1" s="163">
      <c r="A882" s="97" t="n"/>
    </row>
    <row r="883" ht="15.75" customHeight="1" s="163">
      <c r="A883" s="97" t="n"/>
    </row>
    <row r="884" ht="15.75" customHeight="1" s="163">
      <c r="A884" s="97" t="n"/>
    </row>
    <row r="885" ht="15.75" customHeight="1" s="163">
      <c r="A885" s="97" t="n"/>
    </row>
    <row r="886" ht="15.75" customHeight="1" s="163">
      <c r="A886" s="97" t="n"/>
    </row>
    <row r="887" ht="15.75" customHeight="1" s="163">
      <c r="A887" s="97" t="n"/>
    </row>
    <row r="888" ht="15.75" customHeight="1" s="163">
      <c r="A888" s="97" t="n"/>
    </row>
    <row r="889" ht="15.75" customHeight="1" s="163">
      <c r="A889" s="97" t="n"/>
    </row>
    <row r="890" ht="15.75" customHeight="1" s="163">
      <c r="A890" s="97" t="n"/>
    </row>
    <row r="891" ht="15.75" customHeight="1" s="163">
      <c r="A891" s="97" t="n"/>
    </row>
    <row r="892" ht="15.75" customHeight="1" s="163">
      <c r="A892" s="97" t="n"/>
    </row>
    <row r="893" ht="15.75" customHeight="1" s="163">
      <c r="A893" s="97" t="n"/>
    </row>
    <row r="894" ht="15.75" customHeight="1" s="163">
      <c r="A894" s="97" t="n"/>
    </row>
    <row r="895" ht="15.75" customHeight="1" s="163">
      <c r="A895" s="97" t="n"/>
    </row>
    <row r="896" ht="15.75" customHeight="1" s="163">
      <c r="A896" s="97" t="n"/>
    </row>
    <row r="897" ht="15.75" customHeight="1" s="163">
      <c r="A897" s="97" t="n"/>
    </row>
    <row r="898" ht="15.75" customHeight="1" s="163">
      <c r="A898" s="97" t="n"/>
    </row>
    <row r="899" ht="15.75" customHeight="1" s="163">
      <c r="A899" s="97" t="n"/>
    </row>
    <row r="900" ht="15.75" customHeight="1" s="163">
      <c r="A900" s="97" t="n"/>
    </row>
    <row r="901" ht="15.75" customHeight="1" s="163">
      <c r="A901" s="97" t="n"/>
    </row>
    <row r="902" ht="15.75" customHeight="1" s="163">
      <c r="A902" s="97" t="n"/>
    </row>
    <row r="903" ht="15.75" customHeight="1" s="163">
      <c r="A903" s="97" t="n"/>
    </row>
    <row r="904" ht="15.75" customHeight="1" s="163">
      <c r="A904" s="97" t="n"/>
    </row>
    <row r="905" ht="15.75" customHeight="1" s="163">
      <c r="A905" s="97" t="n"/>
    </row>
    <row r="906" ht="15.75" customHeight="1" s="163">
      <c r="A906" s="97" t="n"/>
    </row>
    <row r="907" ht="15.75" customHeight="1" s="163">
      <c r="A907" s="97" t="n"/>
    </row>
    <row r="908" ht="15.75" customHeight="1" s="163">
      <c r="A908" s="97" t="n"/>
    </row>
    <row r="909" ht="15.75" customHeight="1" s="163">
      <c r="A909" s="97" t="n"/>
    </row>
    <row r="910" ht="15.75" customHeight="1" s="163">
      <c r="A910" s="97" t="n"/>
    </row>
    <row r="911" ht="15.75" customHeight="1" s="163">
      <c r="A911" s="97" t="n"/>
    </row>
    <row r="912" ht="15.75" customHeight="1" s="163">
      <c r="A912" s="97" t="n"/>
    </row>
    <row r="913" ht="15.75" customHeight="1" s="163">
      <c r="A913" s="97" t="n"/>
    </row>
    <row r="914" ht="15.75" customHeight="1" s="163">
      <c r="A914" s="97" t="n"/>
    </row>
    <row r="915" ht="15.75" customHeight="1" s="163">
      <c r="A915" s="97" t="n"/>
    </row>
    <row r="916" ht="15.75" customHeight="1" s="163">
      <c r="A916" s="97" t="n"/>
    </row>
    <row r="917" ht="15.75" customHeight="1" s="163">
      <c r="A917" s="97" t="n"/>
    </row>
    <row r="918" ht="15.75" customHeight="1" s="163">
      <c r="A918" s="97" t="n"/>
    </row>
    <row r="919" ht="15.75" customHeight="1" s="163">
      <c r="A919" s="97" t="n"/>
    </row>
    <row r="920" ht="15.75" customHeight="1" s="163">
      <c r="A920" s="97" t="n"/>
    </row>
    <row r="921" ht="15.75" customHeight="1" s="163">
      <c r="A921" s="97" t="n"/>
    </row>
    <row r="922" ht="15.75" customHeight="1" s="163">
      <c r="A922" s="97" t="n"/>
    </row>
    <row r="923" ht="15.75" customHeight="1" s="163">
      <c r="A923" s="97" t="n"/>
    </row>
    <row r="924" ht="15.75" customHeight="1" s="163">
      <c r="A924" s="97" t="n"/>
    </row>
    <row r="925" ht="15.75" customHeight="1" s="163">
      <c r="A925" s="97" t="n"/>
    </row>
    <row r="926" ht="15.75" customHeight="1" s="163">
      <c r="A926" s="97" t="n"/>
    </row>
    <row r="927" ht="15.75" customHeight="1" s="163">
      <c r="A927" s="97" t="n"/>
    </row>
    <row r="928" ht="15.75" customHeight="1" s="163">
      <c r="A928" s="97" t="n"/>
    </row>
    <row r="929" ht="15.75" customHeight="1" s="163">
      <c r="A929" s="97" t="n"/>
    </row>
    <row r="930" ht="15.75" customHeight="1" s="163">
      <c r="A930" s="97" t="n"/>
    </row>
    <row r="931" ht="15.75" customHeight="1" s="163">
      <c r="A931" s="97" t="n"/>
    </row>
    <row r="932" ht="15.75" customHeight="1" s="163">
      <c r="A932" s="97" t="n"/>
    </row>
    <row r="933" ht="15.75" customHeight="1" s="163">
      <c r="A933" s="97" t="n"/>
    </row>
    <row r="934" ht="15.75" customHeight="1" s="163">
      <c r="A934" s="97" t="n"/>
    </row>
    <row r="935" ht="15.75" customHeight="1" s="163">
      <c r="A935" s="97" t="n"/>
    </row>
    <row r="936" ht="15.75" customHeight="1" s="163">
      <c r="A936" s="97" t="n"/>
    </row>
    <row r="937" ht="15.75" customHeight="1" s="163">
      <c r="A937" s="97" t="n"/>
    </row>
    <row r="938" ht="15.75" customHeight="1" s="163">
      <c r="A938" s="97" t="n"/>
    </row>
    <row r="939" ht="15.75" customHeight="1" s="163">
      <c r="A939" s="97" t="n"/>
    </row>
    <row r="940" ht="15.75" customHeight="1" s="163">
      <c r="A940" s="97" t="n"/>
    </row>
    <row r="941" ht="15.75" customHeight="1" s="163">
      <c r="A941" s="97" t="n"/>
    </row>
    <row r="942" ht="15.75" customHeight="1" s="163">
      <c r="A942" s="97" t="n"/>
    </row>
    <row r="943" ht="15.75" customHeight="1" s="163">
      <c r="A943" s="97" t="n"/>
    </row>
    <row r="944" ht="15.75" customHeight="1" s="163">
      <c r="A944" s="97" t="n"/>
    </row>
    <row r="945" ht="15.75" customHeight="1" s="163">
      <c r="A945" s="97" t="n"/>
    </row>
    <row r="946" ht="15.75" customHeight="1" s="163">
      <c r="A946" s="97" t="n"/>
    </row>
    <row r="947" ht="15.75" customHeight="1" s="163">
      <c r="A947" s="97" t="n"/>
    </row>
    <row r="948" ht="15.75" customHeight="1" s="163">
      <c r="A948" s="97" t="n"/>
    </row>
    <row r="949" ht="15.75" customHeight="1" s="163">
      <c r="A949" s="97" t="n"/>
    </row>
    <row r="950" ht="15.75" customHeight="1" s="163">
      <c r="A950" s="97" t="n"/>
    </row>
    <row r="951" ht="15.75" customHeight="1" s="163">
      <c r="A951" s="97" t="n"/>
    </row>
    <row r="952" ht="15.75" customHeight="1" s="163">
      <c r="A952" s="97" t="n"/>
    </row>
    <row r="953" ht="15.75" customHeight="1" s="163">
      <c r="A953" s="97" t="n"/>
    </row>
    <row r="954" ht="15.75" customHeight="1" s="163">
      <c r="A954" s="97" t="n"/>
    </row>
    <row r="955" ht="15.75" customHeight="1" s="163">
      <c r="A955" s="97" t="n"/>
    </row>
    <row r="956" ht="15.75" customHeight="1" s="163">
      <c r="A956" s="97" t="n"/>
    </row>
    <row r="957" ht="15.75" customHeight="1" s="163">
      <c r="A957" s="97" t="n"/>
    </row>
    <row r="958" ht="15.75" customHeight="1" s="163">
      <c r="A958" s="97" t="n"/>
    </row>
    <row r="959" ht="15.75" customHeight="1" s="163">
      <c r="A959" s="97" t="n"/>
    </row>
    <row r="960" ht="15.75" customHeight="1" s="163">
      <c r="A960" s="97" t="n"/>
    </row>
    <row r="961" ht="15.75" customHeight="1" s="163">
      <c r="A961" s="97" t="n"/>
    </row>
    <row r="962" ht="15.75" customHeight="1" s="163">
      <c r="A962" s="97" t="n"/>
    </row>
    <row r="963" ht="15.75" customHeight="1" s="163">
      <c r="A963" s="97" t="n"/>
    </row>
    <row r="964" ht="15.75" customHeight="1" s="163">
      <c r="A964" s="97" t="n"/>
    </row>
    <row r="965" ht="15.75" customHeight="1" s="163">
      <c r="A965" s="97" t="n"/>
    </row>
    <row r="966" ht="15.75" customHeight="1" s="163">
      <c r="A966" s="97" t="n"/>
    </row>
    <row r="967" ht="15.75" customHeight="1" s="163">
      <c r="A967" s="97" t="n"/>
    </row>
    <row r="968" ht="15.75" customHeight="1" s="163">
      <c r="A968" s="97" t="n"/>
    </row>
    <row r="969" ht="15.75" customHeight="1" s="163">
      <c r="A969" s="97" t="n"/>
    </row>
    <row r="970" ht="15.75" customHeight="1" s="163">
      <c r="A970" s="97" t="n"/>
    </row>
    <row r="971" ht="15.75" customHeight="1" s="163">
      <c r="A971" s="97" t="n"/>
    </row>
    <row r="972" ht="15.75" customHeight="1" s="163">
      <c r="A972" s="97" t="n"/>
    </row>
    <row r="973" ht="15.75" customHeight="1" s="163">
      <c r="A973" s="97" t="n"/>
    </row>
    <row r="974" ht="15.75" customHeight="1" s="163">
      <c r="A974" s="97" t="n"/>
    </row>
    <row r="975" ht="15.75" customHeight="1" s="163">
      <c r="A975" s="97" t="n"/>
    </row>
    <row r="976" ht="15.75" customHeight="1" s="163">
      <c r="A976" s="97" t="n"/>
    </row>
    <row r="977" ht="15.75" customHeight="1" s="163">
      <c r="A977" s="97" t="n"/>
    </row>
    <row r="978" ht="15.75" customHeight="1" s="163">
      <c r="A978" s="97" t="n"/>
    </row>
    <row r="979" ht="15.75" customHeight="1" s="163">
      <c r="A979" s="97" t="n"/>
    </row>
    <row r="980" ht="15.75" customHeight="1" s="163">
      <c r="A980" s="97" t="n"/>
    </row>
    <row r="981" ht="15.75" customHeight="1" s="163">
      <c r="A981" s="97" t="n"/>
    </row>
    <row r="982" ht="15.75" customHeight="1" s="163">
      <c r="A982" s="97" t="n"/>
    </row>
    <row r="983" ht="15.75" customHeight="1" s="163">
      <c r="A983" s="97" t="n"/>
    </row>
    <row r="984" ht="15.75" customHeight="1" s="163">
      <c r="A984" s="97" t="n"/>
    </row>
    <row r="985" ht="15.75" customHeight="1" s="163">
      <c r="A985" s="97" t="n"/>
    </row>
    <row r="986" ht="15.75" customHeight="1" s="163">
      <c r="A986" s="97" t="n"/>
    </row>
    <row r="987" ht="15.75" customHeight="1" s="163">
      <c r="A987" s="97" t="n"/>
    </row>
    <row r="988" ht="15.75" customHeight="1" s="163">
      <c r="A988" s="97" t="n"/>
    </row>
    <row r="989" ht="15.75" customHeight="1" s="163">
      <c r="A989" s="97" t="n"/>
    </row>
    <row r="990" ht="15.75" customHeight="1" s="163">
      <c r="A990" s="97" t="n"/>
    </row>
    <row r="991" ht="15.75" customHeight="1" s="163">
      <c r="A991" s="97" t="n"/>
    </row>
    <row r="992" ht="15.75" customHeight="1" s="163">
      <c r="A992" s="97" t="n"/>
    </row>
    <row r="993" ht="15.75" customHeight="1" s="163">
      <c r="A993" s="97" t="n"/>
    </row>
    <row r="994" ht="15.75" customHeight="1" s="163">
      <c r="A994" s="97" t="n"/>
    </row>
    <row r="995" ht="15.75" customHeight="1" s="163">
      <c r="A995" s="97" t="n"/>
    </row>
    <row r="996" ht="15.75" customHeight="1" s="163">
      <c r="A996" s="97" t="n"/>
    </row>
    <row r="997" ht="15.75" customHeight="1" s="163">
      <c r="A997" s="97" t="n"/>
    </row>
    <row r="998" ht="15.75" customHeight="1" s="163">
      <c r="A998" s="97" t="n"/>
    </row>
    <row r="999" ht="15.75" customHeight="1" s="163">
      <c r="A999" s="97" t="n"/>
    </row>
    <row r="1000" ht="15.75" customHeight="1" s="163">
      <c r="A1000" s="97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AG1000"/>
  <sheetViews>
    <sheetView showGridLines="0" workbookViewId="0">
      <selection activeCell="A1" sqref="A1"/>
    </sheetView>
  </sheetViews>
  <sheetFormatPr baseColWidth="8" defaultColWidth="12.63" defaultRowHeight="15" customHeight="1"/>
  <cols>
    <col width="4.38" customWidth="1" style="163" min="1" max="1"/>
    <col width="11.63" customWidth="1" style="163" min="2" max="2"/>
    <col width="19.38" customWidth="1" style="163" min="3" max="3"/>
    <col width="4.63" customWidth="1" style="163" min="4" max="4"/>
    <col width="13.38" customWidth="1" style="163" min="5" max="5"/>
    <col width="20.13" customWidth="1" style="163" min="6" max="6"/>
    <col width="4.88" customWidth="1" style="163" min="7" max="7"/>
    <col width="12.88" customWidth="1" style="163" min="8" max="8"/>
    <col width="19.88" customWidth="1" style="163" min="9" max="9"/>
    <col width="5.13" customWidth="1" style="163" min="10" max="10"/>
    <col width="12.13" customWidth="1" style="163" min="11" max="11"/>
    <col width="22.88" customWidth="1" style="163" min="12" max="12"/>
    <col width="5.13" customWidth="1" style="163" min="13" max="13"/>
    <col width="13.13" customWidth="1" style="163" min="14" max="14"/>
    <col width="19.63" customWidth="1" style="163" min="15" max="15"/>
    <col width="5.13" customWidth="1" style="163" min="16" max="16"/>
    <col width="12.63" customWidth="1" style="163" min="17" max="17"/>
    <col width="19.63" customWidth="1" style="163" min="18" max="18"/>
    <col width="4.88" customWidth="1" style="163" min="19" max="19"/>
    <col width="13.13" customWidth="1" style="163" min="20" max="20"/>
    <col width="20.88" customWidth="1" style="163" min="21" max="21"/>
    <col width="4.5" customWidth="1" style="163" min="22" max="22"/>
  </cols>
  <sheetData>
    <row r="1" ht="15.75" customHeight="1" s="163">
      <c r="A1" s="10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</row>
    <row r="2" ht="15.75" customHeight="1" s="163">
      <c r="A2" s="97" t="n"/>
      <c r="B2" s="108" t="inlineStr">
        <is>
          <t xml:space="preserve">Château Del Mare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</row>
    <row r="3" ht="15.75" customHeight="1" s="163">
      <c r="A3" s="97" t="n"/>
    </row>
    <row r="4" ht="15.75" customHeight="1" s="163">
      <c r="A4" s="97" t="n"/>
    </row>
    <row r="5" ht="15.75" customHeight="1" s="163">
      <c r="A5" s="97" t="n"/>
    </row>
    <row r="6" ht="15.75" customHeight="1" s="163">
      <c r="A6" s="97" t="n"/>
    </row>
    <row r="7" ht="15.75" customHeight="1" s="163">
      <c r="A7" s="97" t="n"/>
    </row>
    <row r="8" ht="15.75" customHeight="1" s="163">
      <c r="A8" s="97" t="n"/>
    </row>
    <row r="9" ht="15.75" customHeight="1" s="163">
      <c r="A9" s="97" t="n"/>
    </row>
    <row r="10" ht="1.5" customHeight="1" s="163">
      <c r="A10" s="97" t="n"/>
    </row>
    <row r="11" ht="15.75" customHeight="1" s="163">
      <c r="A11" s="97" t="n"/>
      <c r="B11" s="97" t="n"/>
      <c r="C11" s="97" t="n"/>
      <c r="D11" s="97" t="n"/>
      <c r="E11" s="97" t="n"/>
      <c r="F11" s="97" t="n"/>
      <c r="G11" s="97" t="n"/>
      <c r="H11" s="97" t="n"/>
      <c r="I11" s="97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  <c r="T11" s="97" t="n"/>
      <c r="U11" s="97" t="n"/>
      <c r="V11" s="109" t="n"/>
      <c r="W11" s="109" t="n"/>
    </row>
    <row r="12" ht="15.75" customHeight="1" s="163">
      <c r="A12" s="97" t="n"/>
      <c r="B12" s="97" t="n"/>
      <c r="C12" s="110" t="inlineStr">
        <is>
          <t>АКЦИЯ</t>
        </is>
      </c>
      <c r="D12" s="97" t="n"/>
      <c r="E12" s="97" t="n"/>
      <c r="F12" s="111" t="inlineStr">
        <is>
          <t>ПРОДАНО</t>
        </is>
      </c>
      <c r="G12" s="97" t="n"/>
      <c r="H12" s="97" t="n"/>
      <c r="I12" s="112" t="inlineStr">
        <is>
          <t>ЗАБРОНИРОВАНО</t>
        </is>
      </c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  <c r="T12" s="97" t="n"/>
      <c r="U12" s="97" t="n"/>
      <c r="V12" s="109" t="n"/>
      <c r="W12" s="109" t="n"/>
    </row>
    <row r="13" ht="15.75" customHeight="1" s="163">
      <c r="A13" s="97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113" t="n"/>
      <c r="W13" s="113" t="n"/>
    </row>
    <row r="14" ht="15.75" customHeight="1" s="163">
      <c r="A14" s="114" t="n"/>
      <c r="B14" s="115" t="inlineStr">
        <is>
          <t>№ 1</t>
        </is>
      </c>
      <c r="C14" s="116" t="inlineStr">
        <is>
          <t>БАРНХАУС</t>
        </is>
      </c>
      <c r="D14" s="114" t="n"/>
      <c r="E14" s="115" t="inlineStr">
        <is>
          <t>№ 2</t>
        </is>
      </c>
      <c r="F14" s="116" t="inlineStr">
        <is>
          <t>А-ФРЕЙМ</t>
        </is>
      </c>
      <c r="G14" s="114" t="n"/>
      <c r="H14" s="117" t="inlineStr">
        <is>
          <t>№ 3</t>
        </is>
      </c>
      <c r="I14" s="116" t="inlineStr">
        <is>
          <t>А-ФРЕЙМ</t>
        </is>
      </c>
      <c r="J14" s="114" t="n"/>
      <c r="K14" s="118" t="inlineStr">
        <is>
          <t>№ 4</t>
        </is>
      </c>
      <c r="L14" s="119" t="inlineStr">
        <is>
          <t>А-ФРЕЙМ</t>
        </is>
      </c>
      <c r="M14" s="114" t="n"/>
      <c r="N14" s="117" t="inlineStr">
        <is>
          <t>№ 5</t>
        </is>
      </c>
      <c r="O14" s="116" t="inlineStr">
        <is>
          <t>А-ФРЕЙМ</t>
        </is>
      </c>
      <c r="P14" s="114" t="n"/>
      <c r="Q14" s="117" t="inlineStr">
        <is>
          <t>№ 6</t>
        </is>
      </c>
      <c r="R14" s="116" t="inlineStr">
        <is>
          <t>БАРНХАУС</t>
        </is>
      </c>
      <c r="S14" s="114" t="n"/>
      <c r="T14" s="120" t="inlineStr">
        <is>
          <t>№ 7</t>
        </is>
      </c>
      <c r="U14" s="121" t="inlineStr">
        <is>
          <t>А-ФРЕЙМ</t>
        </is>
      </c>
      <c r="V14" s="122" t="n"/>
      <c r="W14" s="122" t="n"/>
      <c r="X14" s="114" t="n"/>
      <c r="Y14" s="114" t="n"/>
      <c r="Z14" s="114" t="n"/>
      <c r="AA14" s="114" t="n"/>
      <c r="AB14" s="114" t="n"/>
      <c r="AC14" s="114" t="n"/>
      <c r="AD14" s="114" t="n"/>
      <c r="AE14" s="114" t="n"/>
      <c r="AF14" s="114" t="n"/>
      <c r="AG14" s="114" t="n"/>
    </row>
    <row r="15" ht="20.25" customHeight="1" s="163">
      <c r="A15" s="114" t="n"/>
      <c r="B15" s="123" t="inlineStr">
        <is>
          <t>ЦЕНА:</t>
        </is>
      </c>
      <c r="C15" s="124" t="inlineStr">
        <is>
          <t>ПРОДАНО</t>
        </is>
      </c>
      <c r="D15" s="114" t="n"/>
      <c r="E15" s="125" t="inlineStr">
        <is>
          <t>ЦЕНА:</t>
        </is>
      </c>
      <c r="F15" s="124" t="inlineStr">
        <is>
          <t>ПРОДАНО</t>
        </is>
      </c>
      <c r="G15" s="114" t="n"/>
      <c r="H15" s="125" t="inlineStr">
        <is>
          <t>ЦЕНА:</t>
        </is>
      </c>
      <c r="I15" s="124" t="inlineStr">
        <is>
          <t>ПРОДАНО</t>
        </is>
      </c>
      <c r="J15" s="114" t="n"/>
      <c r="K15" s="125" t="inlineStr">
        <is>
          <t>ЦЕНА:</t>
        </is>
      </c>
      <c r="L15" s="126" t="n">
        <v>14500000</v>
      </c>
      <c r="M15" s="114" t="n"/>
      <c r="N15" s="125" t="inlineStr">
        <is>
          <t>ЦЕНА:</t>
        </is>
      </c>
      <c r="O15" s="124" t="inlineStr">
        <is>
          <t>ПРОДАНО</t>
        </is>
      </c>
      <c r="P15" s="114" t="n"/>
      <c r="Q15" s="125" t="inlineStr">
        <is>
          <t>ЦЕНА:</t>
        </is>
      </c>
      <c r="R15" s="124" t="inlineStr">
        <is>
          <t>ПРОДАНО</t>
        </is>
      </c>
      <c r="S15" s="114" t="n"/>
      <c r="T15" s="125" t="inlineStr">
        <is>
          <t>ЦЕНА:</t>
        </is>
      </c>
      <c r="U15" s="126" t="n">
        <v>12000000</v>
      </c>
      <c r="V15" s="122" t="n"/>
      <c r="W15" s="127" t="n"/>
      <c r="X15" s="114" t="n"/>
      <c r="Y15" s="114" t="n"/>
      <c r="Z15" s="114" t="n"/>
      <c r="AA15" s="114" t="n"/>
      <c r="AB15" s="114" t="n"/>
      <c r="AC15" s="114" t="n"/>
      <c r="AD15" s="114" t="n"/>
      <c r="AE15" s="114" t="n"/>
      <c r="AF15" s="114" t="n"/>
      <c r="AG15" s="114" t="n"/>
    </row>
    <row r="16" ht="15.75" customHeight="1" s="163">
      <c r="A16" s="114" t="n"/>
      <c r="B16" s="128" t="inlineStr">
        <is>
          <t>ПЛОЩАДЬ:</t>
        </is>
      </c>
      <c r="C16" s="129" t="n">
        <v>62</v>
      </c>
      <c r="D16" s="114" t="n"/>
      <c r="E16" s="128" t="inlineStr">
        <is>
          <t>ПЛОЩАДЬ:</t>
        </is>
      </c>
      <c r="F16" s="129" t="n">
        <v>40</v>
      </c>
      <c r="G16" s="114" t="n"/>
      <c r="H16" s="128" t="inlineStr">
        <is>
          <t>ПЛОЩАДЬ:</t>
        </is>
      </c>
      <c r="I16" s="129" t="n">
        <v>40</v>
      </c>
      <c r="J16" s="114" t="n"/>
      <c r="K16" s="128" t="inlineStr">
        <is>
          <t>ПЛОЩАДЬ:</t>
        </is>
      </c>
      <c r="L16" s="129" t="n">
        <v>40</v>
      </c>
      <c r="M16" s="114" t="n"/>
      <c r="N16" s="128" t="inlineStr">
        <is>
          <t>ПЛОЩАДЬ:</t>
        </is>
      </c>
      <c r="O16" s="129" t="n">
        <v>40</v>
      </c>
      <c r="P16" s="114" t="n"/>
      <c r="Q16" s="128" t="inlineStr">
        <is>
          <t>ПЛОЩАДЬ:</t>
        </is>
      </c>
      <c r="R16" s="129" t="n">
        <v>62</v>
      </c>
      <c r="S16" s="114" t="n"/>
      <c r="T16" s="128" t="inlineStr">
        <is>
          <t>ПЛОЩАДЬ:</t>
        </is>
      </c>
      <c r="U16" s="129" t="n">
        <v>40</v>
      </c>
      <c r="V16" s="122" t="n"/>
      <c r="W16" s="130" t="n"/>
      <c r="X16" s="114" t="n"/>
      <c r="Y16" s="114" t="n"/>
      <c r="Z16" s="114" t="n"/>
      <c r="AA16" s="114" t="n"/>
      <c r="AB16" s="114" t="n"/>
      <c r="AC16" s="114" t="n"/>
      <c r="AD16" s="114" t="n"/>
      <c r="AE16" s="114" t="n"/>
      <c r="AF16" s="114" t="n"/>
      <c r="AG16" s="114" t="n"/>
    </row>
    <row r="17" ht="15.75" customHeight="1" s="163">
      <c r="A17" s="114" t="n"/>
      <c r="B17" s="114" t="n"/>
      <c r="C17" s="114" t="n"/>
      <c r="D17" s="114" t="n"/>
      <c r="E17" s="114" t="n"/>
      <c r="F17" s="114" t="n"/>
      <c r="G17" s="114" t="n"/>
      <c r="H17" s="114" t="n"/>
      <c r="I17" s="114" t="n"/>
      <c r="J17" s="114" t="n"/>
      <c r="K17" s="114" t="n"/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22" t="n"/>
      <c r="W17" s="130" t="n"/>
      <c r="X17" s="114" t="n"/>
      <c r="Y17" s="114" t="n"/>
      <c r="Z17" s="114" t="n"/>
      <c r="AA17" s="114" t="n"/>
      <c r="AB17" s="114" t="n"/>
      <c r="AC17" s="114" t="n"/>
      <c r="AD17" s="114" t="n"/>
      <c r="AE17" s="114" t="n"/>
      <c r="AF17" s="114" t="n"/>
      <c r="AG17" s="114" t="n"/>
    </row>
    <row r="18" ht="15.75" customHeight="1" s="163">
      <c r="A18" s="114" t="n"/>
      <c r="B18" s="131" t="n"/>
      <c r="C18" s="131" t="n"/>
      <c r="D18" s="131" t="n"/>
      <c r="E18" s="131" t="n"/>
      <c r="F18" s="131" t="n"/>
      <c r="G18" s="131" t="n"/>
      <c r="H18" s="131" t="n"/>
      <c r="I18" s="131" t="n"/>
      <c r="J18" s="131" t="n"/>
      <c r="K18" s="114" t="n"/>
      <c r="L18" s="114" t="n"/>
      <c r="M18" s="131" t="n"/>
      <c r="N18" s="131" t="n"/>
      <c r="O18" s="114" t="n"/>
      <c r="P18" s="131" t="n"/>
      <c r="Q18" s="114" t="n"/>
      <c r="R18" s="114" t="n"/>
      <c r="S18" s="131" t="n"/>
      <c r="T18" s="114" t="n"/>
      <c r="U18" s="131" t="n"/>
      <c r="V18" s="122" t="n"/>
      <c r="W18" s="132" t="n"/>
      <c r="X18" s="114" t="n"/>
      <c r="Y18" s="114" t="n"/>
      <c r="Z18" s="114" t="n"/>
      <c r="AA18" s="114" t="n"/>
      <c r="AB18" s="114" t="n"/>
      <c r="AC18" s="114" t="n"/>
      <c r="AD18" s="114" t="n"/>
      <c r="AE18" s="114" t="n"/>
      <c r="AF18" s="114" t="n"/>
      <c r="AG18" s="114" t="n"/>
    </row>
    <row r="19" ht="19.5" customHeight="1" s="163">
      <c r="A19" s="114" t="n"/>
      <c r="B19" s="120" t="inlineStr">
        <is>
          <t>№ 8</t>
        </is>
      </c>
      <c r="C19" s="121" t="inlineStr">
        <is>
          <t>А-ФРЕЙМ</t>
        </is>
      </c>
      <c r="D19" s="122" t="n"/>
      <c r="E19" s="120" t="inlineStr">
        <is>
          <t>№ 9</t>
        </is>
      </c>
      <c r="F19" s="121" t="inlineStr">
        <is>
          <t>А-ФРЕЙМ</t>
        </is>
      </c>
      <c r="G19" s="122" t="n"/>
      <c r="H19" s="120" t="inlineStr">
        <is>
          <t>№ 10</t>
        </is>
      </c>
      <c r="I19" s="121" t="inlineStr">
        <is>
          <t>А-ФРЕЙМ</t>
        </is>
      </c>
      <c r="J19" s="122" t="n"/>
      <c r="K19" s="120" t="inlineStr">
        <is>
          <t>№ 11</t>
        </is>
      </c>
      <c r="L19" s="121" t="inlineStr">
        <is>
          <t>БАРНХАУС</t>
        </is>
      </c>
      <c r="M19" s="122" t="n"/>
      <c r="N19" s="117" t="inlineStr">
        <is>
          <t>№ 12</t>
        </is>
      </c>
      <c r="O19" s="116" t="inlineStr">
        <is>
          <t>А-ФРЕЙМ</t>
        </is>
      </c>
      <c r="P19" s="122" t="n"/>
      <c r="Q19" s="120" t="inlineStr">
        <is>
          <t>№ 13</t>
        </is>
      </c>
      <c r="R19" s="121" t="inlineStr">
        <is>
          <t>А-ФРЕЙМ</t>
        </is>
      </c>
      <c r="S19" s="114" t="n"/>
      <c r="T19" s="120" t="inlineStr">
        <is>
          <t>№ 14</t>
        </is>
      </c>
      <c r="U19" s="121" t="inlineStr">
        <is>
          <t>А-ФРЕЙМ</t>
        </is>
      </c>
      <c r="V19" s="122" t="n"/>
      <c r="W19" s="127" t="n"/>
      <c r="X19" s="114" t="n"/>
      <c r="Y19" s="114" t="n"/>
      <c r="Z19" s="114" t="n"/>
      <c r="AA19" s="114" t="n"/>
      <c r="AB19" s="114" t="n"/>
      <c r="AC19" s="114" t="n"/>
      <c r="AD19" s="114" t="n"/>
      <c r="AE19" s="114" t="n"/>
      <c r="AF19" s="114" t="n"/>
      <c r="AG19" s="114" t="n"/>
    </row>
    <row r="20" ht="18.75" customHeight="1" s="163">
      <c r="A20" s="114" t="n"/>
      <c r="B20" s="125" t="inlineStr">
        <is>
          <t>ЦЕНА:</t>
        </is>
      </c>
      <c r="C20" s="126" t="n">
        <v>12000000</v>
      </c>
      <c r="D20" s="114" t="n"/>
      <c r="E20" s="125" t="inlineStr">
        <is>
          <t>ЦЕНА:</t>
        </is>
      </c>
      <c r="F20" s="126" t="n">
        <v>12000000</v>
      </c>
      <c r="G20" s="114" t="n"/>
      <c r="H20" s="125" t="inlineStr">
        <is>
          <t>ЦЕНА:</t>
        </is>
      </c>
      <c r="I20" s="126" t="n">
        <v>12000000</v>
      </c>
      <c r="J20" s="114" t="n"/>
      <c r="K20" s="125" t="inlineStr">
        <is>
          <t>ЦЕНА:</t>
        </is>
      </c>
      <c r="L20" s="126" t="n">
        <v>16000000</v>
      </c>
      <c r="M20" s="114" t="n"/>
      <c r="N20" s="125" t="inlineStr">
        <is>
          <t>ЦЕНА:</t>
        </is>
      </c>
      <c r="O20" s="124" t="inlineStr">
        <is>
          <t>ПРОДАНО</t>
        </is>
      </c>
      <c r="P20" s="114" t="n"/>
      <c r="Q20" s="125" t="inlineStr">
        <is>
          <t>ЦЕНА:</t>
        </is>
      </c>
      <c r="R20" s="126" t="n">
        <v>12000000</v>
      </c>
      <c r="S20" s="114" t="n"/>
      <c r="T20" s="125" t="inlineStr">
        <is>
          <t>ЦЕНА:</t>
        </is>
      </c>
      <c r="U20" s="126" t="n">
        <v>12000000</v>
      </c>
      <c r="V20" s="122" t="n"/>
      <c r="W20" s="127" t="n"/>
      <c r="X20" s="114" t="n"/>
      <c r="Y20" s="114" t="n"/>
      <c r="Z20" s="114" t="n"/>
      <c r="AA20" s="114" t="n"/>
      <c r="AB20" s="114" t="n"/>
      <c r="AC20" s="114" t="n"/>
      <c r="AD20" s="114" t="n"/>
      <c r="AE20" s="114" t="n"/>
      <c r="AF20" s="114" t="n"/>
      <c r="AG20" s="114" t="n"/>
    </row>
    <row r="21" ht="15.75" customHeight="1" s="163">
      <c r="A21" s="114" t="n"/>
      <c r="B21" s="128" t="inlineStr">
        <is>
          <t>ПЛОЩАДЬ:</t>
        </is>
      </c>
      <c r="C21" s="129" t="n">
        <v>40</v>
      </c>
      <c r="D21" s="114" t="n"/>
      <c r="E21" s="128" t="inlineStr">
        <is>
          <t>ПЛОЩАДЬ:</t>
        </is>
      </c>
      <c r="F21" s="129" t="n">
        <v>40</v>
      </c>
      <c r="G21" s="114" t="n"/>
      <c r="H21" s="128" t="inlineStr">
        <is>
          <t>ПЛОЩАДЬ:</t>
        </is>
      </c>
      <c r="I21" s="129" t="n">
        <v>40</v>
      </c>
      <c r="J21" s="114" t="n"/>
      <c r="K21" s="128" t="inlineStr">
        <is>
          <t>ПЛОЩАДЬ:</t>
        </is>
      </c>
      <c r="L21" s="129" t="n">
        <v>62</v>
      </c>
      <c r="M21" s="114" t="n"/>
      <c r="N21" s="128" t="inlineStr">
        <is>
          <t>ПЛОЩАДЬ:</t>
        </is>
      </c>
      <c r="O21" s="129" t="n">
        <v>62</v>
      </c>
      <c r="P21" s="114" t="n"/>
      <c r="Q21" s="128" t="inlineStr">
        <is>
          <t>ПЛОЩАДЬ:</t>
        </is>
      </c>
      <c r="R21" s="129" t="n">
        <v>40</v>
      </c>
      <c r="S21" s="114" t="n"/>
      <c r="T21" s="128" t="inlineStr">
        <is>
          <t>ПЛОЩАДЬ:</t>
        </is>
      </c>
      <c r="U21" s="129" t="n">
        <v>40</v>
      </c>
      <c r="V21" s="122" t="n"/>
      <c r="W21" s="130" t="n"/>
      <c r="X21" s="114" t="n"/>
      <c r="Y21" s="114" t="n"/>
      <c r="Z21" s="114" t="n"/>
      <c r="AA21" s="114" t="n"/>
      <c r="AB21" s="114" t="n"/>
      <c r="AC21" s="114" t="n"/>
      <c r="AD21" s="114" t="n"/>
      <c r="AE21" s="114" t="n"/>
      <c r="AF21" s="114" t="n"/>
      <c r="AG21" s="114" t="n"/>
    </row>
    <row r="22" ht="15.75" customHeight="1" s="163">
      <c r="A22" s="114" t="n"/>
      <c r="B22" s="114" t="n"/>
      <c r="C22" s="114" t="n"/>
      <c r="D22" s="114" t="n"/>
      <c r="E22" s="114" t="n"/>
      <c r="F22" s="114" t="n"/>
      <c r="G22" s="114" t="n"/>
      <c r="H22" s="114" t="n"/>
      <c r="I22" s="114" t="n"/>
      <c r="J22" s="114" t="n"/>
      <c r="K22" s="114" t="n"/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22" t="n"/>
      <c r="W22" s="130" t="n"/>
      <c r="X22" s="114" t="n"/>
      <c r="Y22" s="114" t="n"/>
      <c r="Z22" s="114" t="n"/>
      <c r="AA22" s="114" t="n"/>
      <c r="AB22" s="114" t="n"/>
      <c r="AC22" s="114" t="n"/>
      <c r="AD22" s="114" t="n"/>
      <c r="AE22" s="114" t="n"/>
      <c r="AF22" s="114" t="n"/>
      <c r="AG22" s="114" t="n"/>
    </row>
    <row r="23" ht="15.75" customHeight="1" s="163">
      <c r="A23" s="114" t="n"/>
      <c r="B23" s="131" t="n"/>
      <c r="C23" s="114" t="n"/>
      <c r="D23" s="114" t="n"/>
      <c r="E23" s="114" t="n"/>
      <c r="F23" s="114" t="n"/>
      <c r="G23" s="114" t="n"/>
      <c r="H23" s="114" t="n"/>
      <c r="I23" s="114" t="n"/>
      <c r="J23" s="114" t="n"/>
      <c r="K23" s="114" t="n"/>
      <c r="L23" s="114" t="n"/>
      <c r="M23" s="114" t="n"/>
      <c r="N23" s="114" t="n"/>
      <c r="O23" s="114" t="n"/>
      <c r="P23" s="131" t="n"/>
      <c r="Q23" s="131" t="n"/>
      <c r="R23" s="114" t="n"/>
      <c r="S23" s="131" t="n"/>
      <c r="T23" s="114" t="n"/>
      <c r="U23" s="131" t="n"/>
      <c r="V23" s="122" t="n"/>
      <c r="W23" s="132" t="n"/>
      <c r="X23" s="114" t="n"/>
      <c r="Y23" s="114" t="n"/>
      <c r="Z23" s="114" t="n"/>
      <c r="AA23" s="114" t="n"/>
      <c r="AB23" s="114" t="n"/>
      <c r="AC23" s="114" t="n"/>
      <c r="AD23" s="114" t="n"/>
      <c r="AE23" s="114" t="n"/>
      <c r="AF23" s="114" t="n"/>
      <c r="AG23" s="114" t="n"/>
    </row>
    <row r="24" ht="22.5" customHeight="1" s="163">
      <c r="A24" s="114" t="n"/>
      <c r="B24" s="118" t="inlineStr">
        <is>
          <t>№ 15</t>
        </is>
      </c>
      <c r="C24" s="119" t="inlineStr">
        <is>
          <t>А-ФРЕЙМ</t>
        </is>
      </c>
      <c r="D24" s="122" t="n"/>
      <c r="E24" s="117" t="inlineStr">
        <is>
          <t>№ 16</t>
        </is>
      </c>
      <c r="F24" s="133" t="inlineStr">
        <is>
          <t>БАРНХАУС</t>
        </is>
      </c>
      <c r="G24" s="122" t="n"/>
      <c r="H24" s="120" t="inlineStr">
        <is>
          <t>№ 17</t>
        </is>
      </c>
      <c r="I24" s="121" t="inlineStr">
        <is>
          <t>А-ФРЕЙМ</t>
        </is>
      </c>
      <c r="J24" s="122" t="n"/>
      <c r="K24" s="120" t="inlineStr">
        <is>
          <t>№ 18</t>
        </is>
      </c>
      <c r="L24" s="121" t="inlineStr">
        <is>
          <t>А-ФРЕЙМ</t>
        </is>
      </c>
      <c r="M24" s="122" t="n"/>
      <c r="N24" s="117" t="inlineStr">
        <is>
          <t>№ 19</t>
        </is>
      </c>
      <c r="O24" s="116" t="inlineStr">
        <is>
          <t>А-ФРЕЙМ</t>
        </is>
      </c>
      <c r="P24" s="122" t="n"/>
      <c r="Q24" s="117" t="inlineStr">
        <is>
          <t>№ 20</t>
        </is>
      </c>
      <c r="R24" s="116" t="inlineStr">
        <is>
          <t>А-ФРЕЙМ</t>
        </is>
      </c>
      <c r="S24" s="122" t="n"/>
      <c r="T24" s="117" t="inlineStr">
        <is>
          <t>№ 21</t>
        </is>
      </c>
      <c r="U24" s="116" t="inlineStr">
        <is>
          <t>БАРНХАУС</t>
        </is>
      </c>
      <c r="V24" s="122" t="n"/>
      <c r="W24" s="122" t="n"/>
      <c r="X24" s="114" t="n"/>
      <c r="Y24" s="114" t="n"/>
      <c r="Z24" s="114" t="n"/>
      <c r="AA24" s="114" t="n"/>
      <c r="AB24" s="114" t="n"/>
      <c r="AC24" s="114" t="n"/>
      <c r="AD24" s="114" t="n"/>
      <c r="AE24" s="114" t="n"/>
      <c r="AF24" s="114" t="n"/>
      <c r="AG24" s="114" t="n"/>
    </row>
    <row r="25" ht="19.5" customHeight="1" s="163">
      <c r="A25" s="114" t="n"/>
      <c r="B25" s="125" t="inlineStr">
        <is>
          <t>ЦЕНА:</t>
        </is>
      </c>
      <c r="C25" s="126" t="n">
        <v>11500000</v>
      </c>
      <c r="D25" s="114" t="n"/>
      <c r="E25" s="125" t="inlineStr">
        <is>
          <t>ЦЕНА:</t>
        </is>
      </c>
      <c r="F25" s="124" t="inlineStr">
        <is>
          <t>ПРОДАНО</t>
        </is>
      </c>
      <c r="G25" s="114" t="n"/>
      <c r="H25" s="125" t="inlineStr">
        <is>
          <t>ЦЕНА:</t>
        </is>
      </c>
      <c r="I25" s="126" t="n">
        <v>12000000</v>
      </c>
      <c r="J25" s="114" t="n"/>
      <c r="K25" s="125" t="inlineStr">
        <is>
          <t>ЦЕНА:</t>
        </is>
      </c>
      <c r="L25" s="126" t="n">
        <v>12000000</v>
      </c>
      <c r="M25" s="114" t="n"/>
      <c r="N25" s="125" t="inlineStr">
        <is>
          <t>ЦЕНА:</t>
        </is>
      </c>
      <c r="O25" s="124" t="inlineStr">
        <is>
          <t>ПРОДАНО</t>
        </is>
      </c>
      <c r="P25" s="114" t="n"/>
      <c r="Q25" s="125" t="inlineStr">
        <is>
          <t>ЦЕНА:</t>
        </is>
      </c>
      <c r="R25" s="124" t="inlineStr">
        <is>
          <t>ПРОДАНО</t>
        </is>
      </c>
      <c r="S25" s="114" t="n"/>
      <c r="T25" s="125" t="inlineStr">
        <is>
          <t>ЦЕНА:</t>
        </is>
      </c>
      <c r="U25" s="124" t="inlineStr">
        <is>
          <t>ПРОДАНО</t>
        </is>
      </c>
      <c r="V25" s="122" t="n"/>
      <c r="W25" s="122" t="n"/>
      <c r="X25" s="114" t="n"/>
      <c r="Y25" s="114" t="n"/>
      <c r="Z25" s="114" t="n"/>
      <c r="AA25" s="114" t="n"/>
      <c r="AB25" s="114" t="n"/>
      <c r="AC25" s="114" t="n"/>
      <c r="AD25" s="114" t="n"/>
      <c r="AE25" s="114" t="n"/>
      <c r="AF25" s="114" t="n"/>
      <c r="AG25" s="114" t="n"/>
    </row>
    <row r="26" ht="15.75" customHeight="1" s="163">
      <c r="A26" s="114" t="n"/>
      <c r="B26" s="128" t="inlineStr">
        <is>
          <t>ПЛОЩАДЬ:</t>
        </is>
      </c>
      <c r="C26" s="129" t="n">
        <v>40</v>
      </c>
      <c r="D26" s="114" t="n"/>
      <c r="E26" s="128" t="inlineStr">
        <is>
          <t>ПЛОЩАДЬ:</t>
        </is>
      </c>
      <c r="F26" s="129" t="n">
        <v>40</v>
      </c>
      <c r="G26" s="114" t="n"/>
      <c r="H26" s="128" t="inlineStr">
        <is>
          <t>ПЛОЩАДЬ:</t>
        </is>
      </c>
      <c r="I26" s="129" t="n">
        <v>40</v>
      </c>
      <c r="J26" s="114" t="n"/>
      <c r="K26" s="128" t="inlineStr">
        <is>
          <t>ПЛОЩАДЬ:</t>
        </is>
      </c>
      <c r="L26" s="129" t="n">
        <v>62</v>
      </c>
      <c r="M26" s="114" t="n"/>
      <c r="N26" s="128" t="inlineStr">
        <is>
          <t>ПЛОЩАДЬ:</t>
        </is>
      </c>
      <c r="O26" s="129" t="n">
        <v>40</v>
      </c>
      <c r="P26" s="114" t="n"/>
      <c r="Q26" s="128" t="inlineStr">
        <is>
          <t>ПЛОЩАДЬ:</t>
        </is>
      </c>
      <c r="R26" s="129" t="n">
        <v>62</v>
      </c>
      <c r="S26" s="114" t="n"/>
      <c r="T26" s="128" t="inlineStr">
        <is>
          <t>ПЛОЩАДЬ:</t>
        </is>
      </c>
      <c r="U26" s="129" t="n">
        <v>62</v>
      </c>
      <c r="V26" s="114" t="n"/>
      <c r="W26" s="114" t="n"/>
      <c r="X26" s="114" t="n"/>
      <c r="Y26" s="114" t="n"/>
      <c r="Z26" s="114" t="n"/>
      <c r="AA26" s="114" t="n"/>
      <c r="AB26" s="114" t="n"/>
      <c r="AC26" s="114" t="n"/>
      <c r="AD26" s="114" t="n"/>
      <c r="AE26" s="114" t="n"/>
      <c r="AF26" s="114" t="n"/>
      <c r="AG26" s="114" t="n"/>
    </row>
    <row r="27" ht="15.75" customHeight="1" s="163">
      <c r="A27" s="114" t="n"/>
      <c r="B27" s="114" t="n"/>
      <c r="C27" s="114" t="n"/>
      <c r="D27" s="114" t="n"/>
      <c r="E27" s="114" t="n"/>
      <c r="F27" s="114" t="n"/>
      <c r="G27" s="114" t="n"/>
      <c r="H27" s="114" t="n"/>
      <c r="I27" s="114" t="n"/>
      <c r="J27" s="114" t="n"/>
      <c r="K27" s="114" t="n"/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  <c r="AB27" s="114" t="n"/>
      <c r="AC27" s="114" t="n"/>
      <c r="AD27" s="114" t="n"/>
      <c r="AE27" s="114" t="n"/>
      <c r="AF27" s="114" t="n"/>
      <c r="AG27" s="114" t="n"/>
    </row>
    <row r="28" ht="15.75" customHeight="1" s="163">
      <c r="A28" s="114" t="n"/>
      <c r="B28" s="114" t="n"/>
      <c r="C28" s="131" t="n"/>
      <c r="D28" s="131" t="n"/>
      <c r="E28" s="114" t="n"/>
      <c r="F28" s="114" t="n"/>
      <c r="G28" s="114" t="n"/>
      <c r="H28" s="114" t="n"/>
      <c r="I28" s="131" t="n"/>
      <c r="J28" s="131" t="n"/>
      <c r="K28" s="114" t="n"/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  <c r="AB28" s="114" t="n"/>
      <c r="AC28" s="114" t="n"/>
      <c r="AD28" s="114" t="n"/>
      <c r="AE28" s="114" t="n"/>
      <c r="AF28" s="114" t="n"/>
      <c r="AG28" s="114" t="n"/>
    </row>
    <row r="29" ht="15.75" customHeight="1" s="163">
      <c r="A29" s="114" t="n"/>
      <c r="B29" s="120" t="inlineStr">
        <is>
          <t>№ 22</t>
        </is>
      </c>
      <c r="C29" s="121" t="inlineStr">
        <is>
          <t>А-ФРЕЙМ</t>
        </is>
      </c>
      <c r="D29" s="122" t="n"/>
      <c r="E29" s="120" t="inlineStr">
        <is>
          <t>№ 23</t>
        </is>
      </c>
      <c r="F29" s="121" t="inlineStr">
        <is>
          <t>А-ФРЕЙМ</t>
        </is>
      </c>
      <c r="G29" s="122" t="n"/>
      <c r="H29" s="120" t="inlineStr">
        <is>
          <t>№ 24</t>
        </is>
      </c>
      <c r="I29" s="121" t="inlineStr">
        <is>
          <t>А-ФРЕЙМ</t>
        </is>
      </c>
      <c r="J29" s="122" t="n"/>
      <c r="K29" s="120" t="inlineStr">
        <is>
          <t>№ 25</t>
        </is>
      </c>
      <c r="L29" s="121" t="inlineStr">
        <is>
          <t>А-ФРЕЙМ</t>
        </is>
      </c>
      <c r="M29" s="122" t="n"/>
      <c r="N29" s="120" t="inlineStr">
        <is>
          <t>№ 26</t>
        </is>
      </c>
      <c r="O29" s="121" t="inlineStr">
        <is>
          <t>А-ФРЕЙМ</t>
        </is>
      </c>
      <c r="P29" s="122" t="n"/>
      <c r="Q29" s="117" t="inlineStr">
        <is>
          <t>№ 27</t>
        </is>
      </c>
      <c r="R29" s="116" t="inlineStr">
        <is>
          <t>БАРНХАУС</t>
        </is>
      </c>
      <c r="S29" s="122" t="n"/>
      <c r="T29" s="120" t="inlineStr">
        <is>
          <t>№ 28</t>
        </is>
      </c>
      <c r="U29" s="121" t="inlineStr">
        <is>
          <t>А-ФРЕЙМ</t>
        </is>
      </c>
      <c r="V29" s="114" t="n"/>
      <c r="W29" s="114" t="n"/>
      <c r="X29" s="114" t="n"/>
      <c r="Y29" s="114" t="n"/>
      <c r="Z29" s="114" t="n"/>
      <c r="AA29" s="114" t="n"/>
      <c r="AB29" s="114" t="n"/>
      <c r="AC29" s="114" t="n"/>
      <c r="AD29" s="114" t="n"/>
      <c r="AE29" s="114" t="n"/>
      <c r="AF29" s="114" t="n"/>
      <c r="AG29" s="114" t="n"/>
    </row>
    <row r="30" ht="15.75" customHeight="1" s="163">
      <c r="A30" s="114" t="n"/>
      <c r="B30" s="125" t="inlineStr">
        <is>
          <t>ЦЕНА:</t>
        </is>
      </c>
      <c r="C30" s="126" t="n">
        <v>12000000</v>
      </c>
      <c r="D30" s="114" t="n"/>
      <c r="E30" s="125" t="inlineStr">
        <is>
          <t>ЦЕНА:</t>
        </is>
      </c>
      <c r="F30" s="126" t="n">
        <v>12000000</v>
      </c>
      <c r="G30" s="114" t="n"/>
      <c r="H30" s="125" t="inlineStr">
        <is>
          <t>ЦЕНА:</t>
        </is>
      </c>
      <c r="I30" s="126" t="n">
        <v>12000000</v>
      </c>
      <c r="J30" s="114" t="n"/>
      <c r="K30" s="125" t="inlineStr">
        <is>
          <t>ЦЕНА:</t>
        </is>
      </c>
      <c r="L30" s="126" t="n">
        <v>12000000</v>
      </c>
      <c r="M30" s="114" t="n"/>
      <c r="N30" s="125" t="inlineStr">
        <is>
          <t>ЦЕНА:</t>
        </is>
      </c>
      <c r="O30" s="126" t="n">
        <v>12000000</v>
      </c>
      <c r="P30" s="114" t="n"/>
      <c r="Q30" s="125" t="inlineStr">
        <is>
          <t>ЦЕНА:</t>
        </is>
      </c>
      <c r="R30" s="124" t="inlineStr">
        <is>
          <t>ПРОДАНО</t>
        </is>
      </c>
      <c r="S30" s="114" t="n"/>
      <c r="T30" s="125" t="inlineStr">
        <is>
          <t>ЦЕНА:</t>
        </is>
      </c>
      <c r="U30" s="126" t="n">
        <v>12000000</v>
      </c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14" t="n"/>
      <c r="AF30" s="114" t="n"/>
      <c r="AG30" s="114" t="n"/>
    </row>
    <row r="31" ht="15.75" customHeight="1" s="163">
      <c r="A31" s="114" t="n"/>
      <c r="B31" s="128" t="inlineStr">
        <is>
          <t>ПЛОЩАДЬ:</t>
        </is>
      </c>
      <c r="C31" s="129" t="n">
        <v>40</v>
      </c>
      <c r="D31" s="114" t="n"/>
      <c r="E31" s="128" t="inlineStr">
        <is>
          <t>ПЛОЩАДЬ:</t>
        </is>
      </c>
      <c r="F31" s="129" t="n">
        <v>40</v>
      </c>
      <c r="G31" s="114" t="n"/>
      <c r="H31" s="128" t="inlineStr">
        <is>
          <t>ПЛОЩАДЬ:</t>
        </is>
      </c>
      <c r="I31" s="129" t="n">
        <v>40</v>
      </c>
      <c r="J31" s="114" t="n"/>
      <c r="K31" s="128" t="inlineStr">
        <is>
          <t>ПЛОЩАДЬ:</t>
        </is>
      </c>
      <c r="L31" s="129" t="n">
        <v>40</v>
      </c>
      <c r="M31" s="114" t="n"/>
      <c r="N31" s="128" t="inlineStr">
        <is>
          <t>ПЛОЩАДЬ:</t>
        </is>
      </c>
      <c r="O31" s="129" t="n">
        <v>40</v>
      </c>
      <c r="P31" s="114" t="n"/>
      <c r="Q31" s="128" t="inlineStr">
        <is>
          <t>ПЛОЩАДЬ:</t>
        </is>
      </c>
      <c r="R31" s="129" t="n">
        <v>62</v>
      </c>
      <c r="S31" s="114" t="n"/>
      <c r="T31" s="128" t="inlineStr">
        <is>
          <t>ПЛОЩАДЬ:</t>
        </is>
      </c>
      <c r="U31" s="129" t="n">
        <v>40</v>
      </c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14" t="n"/>
      <c r="AF31" s="114" t="n"/>
      <c r="AG31" s="114" t="n"/>
    </row>
    <row r="32" ht="14.25" customHeight="1" s="163">
      <c r="A32" s="114" t="n"/>
      <c r="B32" s="114" t="n"/>
      <c r="C32" s="114" t="n"/>
      <c r="D32" s="114" t="n"/>
      <c r="E32" s="114" t="n"/>
      <c r="F32" s="114" t="n"/>
      <c r="G32" s="114" t="n"/>
      <c r="H32" s="114" t="n"/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14" t="n"/>
      <c r="AF32" s="114" t="n"/>
      <c r="AG32" s="114" t="n"/>
    </row>
    <row r="33" ht="20.25" customHeight="1" s="163">
      <c r="A33" s="114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14" t="n"/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  <c r="AB33" s="114" t="n"/>
      <c r="AC33" s="114" t="n"/>
      <c r="AD33" s="114" t="n"/>
      <c r="AE33" s="114" t="n"/>
      <c r="AF33" s="114" t="n"/>
      <c r="AG33" s="114" t="n"/>
    </row>
    <row r="34" ht="15.75" customHeight="1" s="163">
      <c r="A34" s="114" t="n"/>
      <c r="B34" s="117" t="inlineStr">
        <is>
          <t>№ 29</t>
        </is>
      </c>
      <c r="C34" s="116" t="inlineStr">
        <is>
          <t>А-ФРЕЙМ</t>
        </is>
      </c>
      <c r="D34" s="114" t="n"/>
      <c r="E34" s="118" t="inlineStr">
        <is>
          <t>№ 30</t>
        </is>
      </c>
      <c r="F34" s="119" t="inlineStr">
        <is>
          <t>А-ФРЕЙМ</t>
        </is>
      </c>
      <c r="G34" s="114" t="n"/>
      <c r="H34" s="120" t="inlineStr">
        <is>
          <t>№ 31</t>
        </is>
      </c>
      <c r="I34" s="121" t="inlineStr">
        <is>
          <t>А-ФРЕЙМ</t>
        </is>
      </c>
      <c r="J34" s="114" t="n"/>
      <c r="K34" s="120" t="inlineStr">
        <is>
          <t>№ 32</t>
        </is>
      </c>
      <c r="L34" s="121" t="inlineStr">
        <is>
          <t>А-ФРЕЙМ</t>
        </is>
      </c>
      <c r="M34" s="114" t="n"/>
      <c r="N34" s="117" t="inlineStr">
        <is>
          <t>№ 33</t>
        </is>
      </c>
      <c r="O34" s="116" t="inlineStr">
        <is>
          <t>А-ФРЕЙМ</t>
        </is>
      </c>
      <c r="P34" s="114" t="n"/>
      <c r="Q34" s="120" t="inlineStr">
        <is>
          <t>№ 34</t>
        </is>
      </c>
      <c r="R34" s="121" t="inlineStr">
        <is>
          <t>А-ФРЕЙМ</t>
        </is>
      </c>
      <c r="S34" s="114" t="n"/>
      <c r="T34" s="120" t="inlineStr">
        <is>
          <t>№ 35</t>
        </is>
      </c>
      <c r="U34" s="121" t="inlineStr">
        <is>
          <t>А-ФРЕЙМ</t>
        </is>
      </c>
      <c r="V34" s="114" t="n"/>
      <c r="W34" s="114" t="n"/>
      <c r="X34" s="114" t="n"/>
      <c r="Y34" s="114" t="n"/>
      <c r="Z34" s="114" t="n"/>
      <c r="AA34" s="114" t="n"/>
      <c r="AB34" s="114" t="n"/>
      <c r="AC34" s="114" t="n"/>
      <c r="AD34" s="114" t="n"/>
      <c r="AE34" s="114" t="n"/>
      <c r="AF34" s="114" t="n"/>
      <c r="AG34" s="114" t="n"/>
    </row>
    <row r="35" ht="15.75" customHeight="1" s="163">
      <c r="A35" s="114" t="n"/>
      <c r="B35" s="125" t="inlineStr">
        <is>
          <t>ЦЕНА:</t>
        </is>
      </c>
      <c r="C35" s="124" t="inlineStr">
        <is>
          <t>ПРОДАНО</t>
        </is>
      </c>
      <c r="D35" s="114" t="n"/>
      <c r="E35" s="125" t="inlineStr">
        <is>
          <t>ЦЕНА:</t>
        </is>
      </c>
      <c r="F35" s="126" t="n">
        <v>11500000</v>
      </c>
      <c r="G35" s="114" t="n"/>
      <c r="H35" s="125" t="inlineStr">
        <is>
          <t>ЦЕНА:</t>
        </is>
      </c>
      <c r="I35" s="126" t="n">
        <v>12000000</v>
      </c>
      <c r="J35" s="114" t="n"/>
      <c r="K35" s="125" t="inlineStr">
        <is>
          <t>ЦЕНА:</t>
        </is>
      </c>
      <c r="L35" s="126" t="n">
        <v>12000000</v>
      </c>
      <c r="M35" s="114" t="n"/>
      <c r="N35" s="125" t="inlineStr">
        <is>
          <t>ЦЕНА:</t>
        </is>
      </c>
      <c r="O35" s="124" t="inlineStr">
        <is>
          <t>ПРОДАНО</t>
        </is>
      </c>
      <c r="P35" s="114" t="n"/>
      <c r="Q35" s="125" t="inlineStr">
        <is>
          <t>ЦЕНА:</t>
        </is>
      </c>
      <c r="R35" s="126" t="n">
        <v>12000000</v>
      </c>
      <c r="S35" s="114" t="n"/>
      <c r="T35" s="125" t="inlineStr">
        <is>
          <t>ЦЕНА:</t>
        </is>
      </c>
      <c r="U35" s="126" t="n">
        <v>12000000</v>
      </c>
      <c r="V35" s="114" t="n"/>
      <c r="W35" s="114" t="n"/>
      <c r="X35" s="114" t="n"/>
      <c r="Y35" s="114" t="n"/>
      <c r="Z35" s="114" t="n"/>
      <c r="AA35" s="114" t="n"/>
      <c r="AB35" s="114" t="n"/>
      <c r="AC35" s="114" t="n"/>
      <c r="AD35" s="114" t="n"/>
      <c r="AE35" s="114" t="n"/>
      <c r="AF35" s="114" t="n"/>
      <c r="AG35" s="114" t="n"/>
    </row>
    <row r="36" ht="15.75" customHeight="1" s="163">
      <c r="A36" s="114" t="n"/>
      <c r="B36" s="128" t="inlineStr">
        <is>
          <t>ПЛОЩАДЬ:</t>
        </is>
      </c>
      <c r="C36" s="129" t="n">
        <v>40</v>
      </c>
      <c r="D36" s="114" t="n"/>
      <c r="E36" s="134" t="inlineStr">
        <is>
          <t>ПЛОЩАДЬ:</t>
        </is>
      </c>
      <c r="F36" s="135" t="n">
        <v>40</v>
      </c>
      <c r="G36" s="114" t="n"/>
      <c r="H36" s="128" t="inlineStr">
        <is>
          <t>ПЛОЩАДЬ:</t>
        </is>
      </c>
      <c r="I36" s="135" t="n">
        <v>40</v>
      </c>
      <c r="J36" s="114" t="n"/>
      <c r="K36" s="128" t="inlineStr">
        <is>
          <t>ПЛОЩАДЬ:</t>
        </is>
      </c>
      <c r="L36" s="129" t="n">
        <v>40</v>
      </c>
      <c r="M36" s="114" t="n"/>
      <c r="N36" s="134" t="inlineStr">
        <is>
          <t>ПЛОЩАДЬ:</t>
        </is>
      </c>
      <c r="O36" s="129" t="n">
        <v>40</v>
      </c>
      <c r="P36" s="131" t="n"/>
      <c r="Q36" s="128" t="inlineStr">
        <is>
          <t>ПЛОЩАДЬ:</t>
        </is>
      </c>
      <c r="R36" s="129" t="n">
        <v>40</v>
      </c>
      <c r="S36" s="114" t="n"/>
      <c r="T36" s="128" t="inlineStr">
        <is>
          <t>ПЛОЩАДЬ:</t>
        </is>
      </c>
      <c r="U36" s="129" t="n">
        <v>40</v>
      </c>
      <c r="V36" s="114" t="n"/>
      <c r="W36" s="114" t="n"/>
      <c r="X36" s="114" t="n"/>
      <c r="Y36" s="114" t="n"/>
      <c r="Z36" s="114" t="n"/>
      <c r="AA36" s="114" t="n"/>
      <c r="AB36" s="114" t="n"/>
      <c r="AC36" s="114" t="n"/>
      <c r="AD36" s="114" t="n"/>
      <c r="AE36" s="114" t="n"/>
      <c r="AF36" s="114" t="n"/>
      <c r="AG36" s="114" t="n"/>
    </row>
    <row r="37" ht="15.75" customHeight="1" s="163">
      <c r="A37" s="114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4" t="n"/>
      <c r="O37" s="114" t="n"/>
      <c r="P37" s="114" t="n"/>
      <c r="Q37" s="114" t="n"/>
      <c r="R37" s="114" t="n"/>
      <c r="S37" s="114" t="n"/>
      <c r="T37" s="114" t="n"/>
      <c r="U37" s="114" t="n"/>
      <c r="V37" s="114" t="n"/>
      <c r="W37" s="114" t="n"/>
      <c r="X37" s="114" t="n"/>
      <c r="Y37" s="114" t="n"/>
      <c r="Z37" s="114" t="n"/>
      <c r="AA37" s="114" t="n"/>
      <c r="AB37" s="114" t="n"/>
      <c r="AC37" s="114" t="n"/>
      <c r="AD37" s="114" t="n"/>
      <c r="AE37" s="114" t="n"/>
      <c r="AF37" s="114" t="n"/>
      <c r="AG37" s="114" t="n"/>
    </row>
    <row r="38" ht="19.5" customHeight="1" s="163">
      <c r="A38" s="114" t="n"/>
      <c r="B38" s="114" t="n"/>
      <c r="C38" s="114" t="n"/>
      <c r="D38" s="114" t="n"/>
      <c r="E38" s="114" t="n"/>
      <c r="F38" s="114" t="n"/>
      <c r="G38" s="114" t="n"/>
      <c r="H38" s="122" t="n"/>
      <c r="I38" s="122" t="n"/>
      <c r="J38" s="122" t="n"/>
      <c r="K38" s="122" t="n"/>
      <c r="L38" s="122" t="n"/>
      <c r="M38" s="122" t="n"/>
      <c r="N38" s="122" t="n"/>
      <c r="O38" s="122" t="n"/>
      <c r="P38" s="122" t="n"/>
      <c r="Q38" s="122" t="n"/>
      <c r="R38" s="122" t="n"/>
      <c r="S38" s="122" t="n"/>
      <c r="T38" s="122" t="n"/>
      <c r="U38" s="122" t="n"/>
      <c r="V38" s="114" t="n"/>
      <c r="W38" s="114" t="n"/>
      <c r="X38" s="114" t="n"/>
      <c r="Y38" s="114" t="n"/>
      <c r="Z38" s="114" t="n"/>
      <c r="AA38" s="114" t="n"/>
      <c r="AB38" s="114" t="n"/>
      <c r="AC38" s="114" t="n"/>
      <c r="AD38" s="114" t="n"/>
      <c r="AE38" s="114" t="n"/>
      <c r="AF38" s="114" t="n"/>
      <c r="AG38" s="114" t="n"/>
    </row>
    <row r="39" ht="15.75" customHeight="1" s="163">
      <c r="A39" s="114" t="n"/>
      <c r="B39" s="120" t="inlineStr">
        <is>
          <t>№ 36</t>
        </is>
      </c>
      <c r="C39" s="121" t="inlineStr">
        <is>
          <t>А-ФРЕЙМ</t>
        </is>
      </c>
      <c r="D39" s="114" t="n"/>
      <c r="E39" s="120" t="inlineStr">
        <is>
          <t>№ 37</t>
        </is>
      </c>
      <c r="F39" s="121" t="inlineStr">
        <is>
          <t>БАРНХАУС</t>
        </is>
      </c>
      <c r="G39" s="114" t="n"/>
      <c r="H39" s="136" t="n"/>
      <c r="I39" s="137" t="n"/>
      <c r="J39" s="122" t="n"/>
      <c r="K39" s="136" t="n"/>
      <c r="L39" s="137" t="n"/>
      <c r="M39" s="122" t="n"/>
      <c r="N39" s="136" t="n"/>
      <c r="O39" s="137" t="n"/>
      <c r="P39" s="122" t="n"/>
      <c r="Q39" s="136" t="n"/>
      <c r="R39" s="137" t="n"/>
      <c r="S39" s="122" t="n"/>
      <c r="T39" s="136" t="n"/>
      <c r="U39" s="137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</row>
    <row r="40" ht="15.75" customHeight="1" s="163">
      <c r="A40" s="114" t="n"/>
      <c r="B40" s="125" t="inlineStr">
        <is>
          <t>ЦЕНА:</t>
        </is>
      </c>
      <c r="C40" s="126" t="n">
        <v>12000000</v>
      </c>
      <c r="D40" s="114" t="n"/>
      <c r="E40" s="125" t="inlineStr">
        <is>
          <t>ЦЕНА:</t>
        </is>
      </c>
      <c r="F40" s="138" t="inlineStr">
        <is>
          <t>РЕЗЕРВ</t>
        </is>
      </c>
      <c r="G40" s="114" t="n"/>
      <c r="H40" s="122" t="n"/>
      <c r="I40" s="139" t="n"/>
      <c r="J40" s="122" t="n"/>
      <c r="K40" s="122" t="n"/>
      <c r="L40" s="139" t="n"/>
      <c r="M40" s="122" t="n"/>
      <c r="N40" s="122" t="n"/>
      <c r="O40" s="139" t="n"/>
      <c r="P40" s="122" t="n"/>
      <c r="Q40" s="122" t="n"/>
      <c r="R40" s="139" t="n"/>
      <c r="S40" s="122" t="n"/>
      <c r="T40" s="122" t="n"/>
      <c r="U40" s="139" t="n"/>
      <c r="V40" s="114" t="n"/>
      <c r="W40" s="114" t="n"/>
      <c r="X40" s="114" t="n"/>
      <c r="Y40" s="114" t="n"/>
      <c r="Z40" s="114" t="n"/>
      <c r="AA40" s="114" t="n"/>
      <c r="AB40" s="114" t="n"/>
      <c r="AC40" s="114" t="n"/>
      <c r="AD40" s="114" t="n"/>
      <c r="AE40" s="114" t="n"/>
      <c r="AF40" s="114" t="n"/>
      <c r="AG40" s="114" t="n"/>
    </row>
    <row r="41" ht="15.75" customHeight="1" s="163">
      <c r="A41" s="114" t="n"/>
      <c r="B41" s="128" t="inlineStr">
        <is>
          <t>ПЛОЩАДЬ:</t>
        </is>
      </c>
      <c r="C41" s="129" t="n">
        <v>40</v>
      </c>
      <c r="D41" s="114" t="n"/>
      <c r="E41" s="134" t="inlineStr">
        <is>
          <t>ПЛОЩАДЬ:</t>
        </is>
      </c>
      <c r="F41" s="129" t="n">
        <v>62</v>
      </c>
      <c r="G41" s="114" t="n"/>
      <c r="H41" s="122" t="n"/>
      <c r="I41" s="140" t="n"/>
      <c r="J41" s="122" t="n"/>
      <c r="K41" s="122" t="n"/>
      <c r="L41" s="141" t="n"/>
      <c r="M41" s="142" t="n"/>
      <c r="N41" s="122" t="n"/>
      <c r="O41" s="141" t="n"/>
      <c r="P41" s="142" t="n"/>
      <c r="Q41" s="142" t="n"/>
      <c r="R41" s="141" t="n"/>
      <c r="S41" s="122" t="n"/>
      <c r="T41" s="122" t="n"/>
      <c r="U41" s="141" t="n"/>
      <c r="V41" s="114" t="n"/>
      <c r="W41" s="114" t="n"/>
      <c r="X41" s="114" t="n"/>
      <c r="Y41" s="114" t="n"/>
      <c r="Z41" s="114" t="n"/>
      <c r="AA41" s="114" t="n"/>
      <c r="AB41" s="114" t="n"/>
      <c r="AC41" s="114" t="n"/>
      <c r="AD41" s="114" t="n"/>
      <c r="AE41" s="114" t="n"/>
      <c r="AF41" s="114" t="n"/>
      <c r="AG41" s="114" t="n"/>
    </row>
    <row r="42" ht="15.75" customHeight="1" s="163">
      <c r="A42" s="114" t="n"/>
      <c r="B42" s="114" t="n"/>
      <c r="C42" s="114" t="n"/>
      <c r="D42" s="114" t="n"/>
      <c r="E42" s="114" t="n"/>
      <c r="F42" s="114" t="n"/>
      <c r="G42" s="114" t="n"/>
      <c r="H42" s="114" t="n"/>
      <c r="I42" s="114" t="n"/>
      <c r="J42" s="114" t="n"/>
      <c r="K42" s="114" t="n"/>
      <c r="L42" s="114" t="n"/>
      <c r="M42" s="114" t="n"/>
      <c r="N42" s="114" t="n"/>
      <c r="O42" s="114" t="n"/>
      <c r="P42" s="114" t="n"/>
      <c r="Q42" s="114" t="n"/>
      <c r="R42" s="114" t="n"/>
      <c r="S42" s="114" t="n"/>
      <c r="T42" s="114" t="n"/>
      <c r="U42" s="114" t="n"/>
      <c r="V42" s="114" t="n"/>
      <c r="W42" s="114" t="n"/>
      <c r="X42" s="114" t="n"/>
      <c r="Y42" s="114" t="n"/>
      <c r="Z42" s="114" t="n"/>
      <c r="AA42" s="114" t="n"/>
      <c r="AB42" s="114" t="n"/>
      <c r="AC42" s="114" t="n"/>
      <c r="AD42" s="114" t="n"/>
      <c r="AE42" s="114" t="n"/>
      <c r="AF42" s="114" t="n"/>
      <c r="AG42" s="114" t="n"/>
    </row>
    <row r="43" ht="15.75" customHeight="1" s="163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</row>
    <row r="44" ht="15.75" customHeight="1" s="163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</row>
    <row r="45" ht="15.75" customHeight="1" s="163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</row>
    <row r="46" ht="15.75" customHeight="1" s="163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</row>
    <row r="47" ht="15.75" customHeight="1" s="163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</row>
    <row r="48" ht="15.75" customHeight="1" s="163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</row>
    <row r="49" ht="15.75" customHeight="1" s="163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</row>
    <row r="50" ht="15.75" customHeight="1" s="163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</row>
    <row r="51" ht="15.75" customHeight="1" s="163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</row>
    <row r="52" ht="15.75" customHeight="1" s="163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</row>
    <row r="53" ht="15.75" customHeight="1" s="163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</row>
    <row r="54" ht="15.75" customHeight="1" s="163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</row>
    <row r="55" ht="15.75" customHeight="1" s="163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</row>
    <row r="56" ht="15.75" customHeight="1" s="163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</row>
    <row r="57" ht="15.75" customHeight="1" s="163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</row>
    <row r="58" ht="15.75" customHeight="1" s="163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</row>
    <row r="59" ht="15.75" customHeight="1" s="163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</row>
    <row r="60" ht="15.75" customHeight="1" s="163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</row>
    <row r="61" ht="15.75" customHeight="1" s="163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</row>
    <row r="62" ht="15.75" customHeight="1" s="163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</row>
    <row r="63" ht="15.75" customHeight="1" s="163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</row>
    <row r="64" ht="15.75" customHeight="1" s="163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</row>
    <row r="65" ht="15.75" customHeight="1" s="163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</row>
    <row r="66" ht="15.75" customHeight="1" s="163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</row>
    <row r="67" ht="15.75" customHeight="1" s="163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</row>
    <row r="68" ht="15.75" customHeight="1" s="163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</row>
    <row r="69" ht="15.75" customHeight="1" s="163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</row>
    <row r="70" ht="15.75" customHeight="1" s="163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</row>
    <row r="71" ht="15.75" customHeight="1" s="163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</row>
    <row r="72" ht="15.75" customHeight="1" s="163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</row>
    <row r="73" ht="15.75" customHeight="1" s="163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</row>
    <row r="74" ht="15.75" customHeight="1" s="163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</row>
    <row r="75" ht="15.75" customHeight="1" s="163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</row>
    <row r="76" ht="15.75" customHeight="1" s="163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</row>
    <row r="77" ht="15.75" customHeight="1" s="163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</row>
    <row r="78" ht="15.75" customHeight="1" s="163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</row>
    <row r="79" ht="15.75" customHeight="1" s="163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</row>
    <row r="80" ht="15.75" customHeight="1" s="163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</row>
    <row r="81" ht="15.75" customHeight="1" s="163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</row>
    <row r="82" ht="15.75" customHeight="1" s="163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</row>
    <row r="83" ht="15.75" customHeight="1" s="16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</row>
    <row r="84" ht="15.75" customHeight="1" s="163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</row>
    <row r="85" ht="15.75" customHeight="1" s="163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</row>
    <row r="86" ht="15.75" customHeight="1" s="163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</row>
    <row r="87" ht="15.75" customHeight="1" s="163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</row>
    <row r="88" ht="15.75" customHeight="1" s="163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</row>
    <row r="89" ht="15.75" customHeight="1" s="163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</row>
    <row r="90" ht="15.75" customHeight="1" s="163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</row>
    <row r="91" ht="15.75" customHeight="1" s="163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</row>
    <row r="92" ht="15.75" customHeight="1" s="163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</row>
    <row r="93" ht="15.75" customHeight="1" s="16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</row>
    <row r="94" ht="15.75" customHeight="1" s="163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</row>
    <row r="95" ht="15.75" customHeight="1" s="163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</row>
    <row r="96" ht="15.75" customHeight="1" s="163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</row>
    <row r="97" ht="15.75" customHeight="1" s="163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</row>
    <row r="98" ht="15.75" customHeight="1" s="163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</row>
    <row r="99" ht="15.75" customHeight="1" s="163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</row>
    <row r="100" ht="15.75" customHeight="1" s="163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</row>
    <row r="101" ht="15.75" customHeight="1" s="163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</row>
    <row r="102" ht="15.75" customHeight="1" s="163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</row>
    <row r="103" ht="15.75" customHeight="1" s="16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</row>
    <row r="104" ht="15.75" customHeight="1" s="163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</row>
    <row r="105" ht="15.75" customHeight="1" s="163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</row>
    <row r="106" ht="15.75" customHeight="1" s="163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</row>
    <row r="107" ht="15.75" customHeight="1" s="163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</row>
    <row r="108" ht="15.75" customHeight="1" s="163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</row>
    <row r="109" ht="15.75" customHeight="1" s="163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</row>
    <row r="110" ht="15.75" customHeight="1" s="163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</row>
    <row r="111" ht="15.75" customHeight="1" s="163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</row>
    <row r="112" ht="15.75" customHeight="1" s="163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</row>
    <row r="113" ht="15.75" customHeight="1" s="16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</row>
    <row r="114" ht="15.75" customHeight="1" s="163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</row>
    <row r="115" ht="15.75" customHeight="1" s="163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</row>
    <row r="116" ht="15.75" customHeight="1" s="163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</row>
    <row r="117" ht="15.75" customHeight="1" s="163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</row>
    <row r="118" ht="15.75" customHeight="1" s="163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</row>
    <row r="119" ht="15.75" customHeight="1" s="163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</row>
    <row r="120" ht="15.75" customHeight="1" s="163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</row>
    <row r="121" ht="15.75" customHeight="1" s="163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</row>
    <row r="122" ht="15.75" customHeight="1" s="163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</row>
    <row r="123" ht="15.75" customHeight="1" s="16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</row>
    <row r="124" ht="15.75" customHeight="1" s="163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</row>
    <row r="125" ht="15.75" customHeight="1" s="163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</row>
    <row r="126" ht="15.75" customHeight="1" s="163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</row>
    <row r="127" ht="15.75" customHeight="1" s="163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</row>
    <row r="128" ht="15.75" customHeight="1" s="163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</row>
    <row r="129" ht="15.75" customHeight="1" s="163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</row>
    <row r="130" ht="15.75" customHeight="1" s="163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</row>
    <row r="131" ht="15.75" customHeight="1" s="163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</row>
    <row r="132" ht="15.75" customHeight="1" s="163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</row>
    <row r="133" ht="15.75" customHeight="1" s="163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</row>
    <row r="134" ht="15.75" customHeight="1" s="163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</row>
    <row r="135" ht="15.75" customHeight="1" s="163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</row>
    <row r="136" ht="15.75" customHeight="1" s="163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</row>
    <row r="137" ht="15.75" customHeight="1" s="163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</row>
    <row r="138" ht="15.75" customHeight="1" s="163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</row>
    <row r="139" ht="15.75" customHeight="1" s="163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</row>
    <row r="140" ht="15.75" customHeight="1" s="163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</row>
    <row r="141" ht="15.75" customHeight="1" s="163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</row>
    <row r="142" ht="15.75" customHeight="1" s="163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</row>
    <row r="143" ht="15.75" customHeight="1" s="163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</row>
    <row r="144" ht="15.75" customHeight="1" s="163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</row>
    <row r="145" ht="15.75" customHeight="1" s="163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</row>
    <row r="146" ht="15.75" customHeight="1" s="163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</row>
    <row r="147" ht="15.75" customHeight="1" s="163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</row>
    <row r="148" ht="15.75" customHeight="1" s="163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</row>
    <row r="149" ht="15.75" customHeight="1" s="163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</row>
    <row r="150" ht="15.75" customHeight="1" s="163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</row>
    <row r="151" ht="15.75" customHeight="1" s="163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</row>
    <row r="152" ht="15.75" customHeight="1" s="163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</row>
    <row r="153" ht="15.75" customHeight="1" s="163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</row>
    <row r="154" ht="15.75" customHeight="1" s="163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</row>
    <row r="155" ht="15.75" customHeight="1" s="163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</row>
    <row r="156" ht="15.75" customHeight="1" s="163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</row>
    <row r="157" ht="15.75" customHeight="1" s="163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</row>
    <row r="158" ht="15.75" customHeight="1" s="163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</row>
    <row r="159" ht="15.75" customHeight="1" s="163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</row>
    <row r="160" ht="15.75" customHeight="1" s="163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</row>
    <row r="161" ht="15.75" customHeight="1" s="163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</row>
    <row r="162" ht="15.75" customHeight="1" s="163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</row>
    <row r="163" ht="15.75" customHeight="1" s="163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</row>
    <row r="164" ht="15.75" customHeight="1" s="163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</row>
    <row r="165" ht="15.75" customHeight="1" s="163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</row>
    <row r="166" ht="15.75" customHeight="1" s="163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</row>
    <row r="167" ht="15.75" customHeight="1" s="163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</row>
    <row r="168" ht="15.75" customHeight="1" s="163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</row>
    <row r="169" ht="15.75" customHeight="1" s="163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</row>
    <row r="170" ht="15.75" customHeight="1" s="163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</row>
    <row r="171" ht="15.75" customHeight="1" s="163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</row>
    <row r="172" ht="15.75" customHeight="1" s="163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</row>
    <row r="173" ht="15.75" customHeight="1" s="163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</row>
    <row r="174" ht="15.75" customHeight="1" s="163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</row>
    <row r="175" ht="15.75" customHeight="1" s="163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</row>
    <row r="176" ht="15.75" customHeight="1" s="163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</row>
    <row r="177" ht="15.75" customHeight="1" s="163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</row>
    <row r="178" ht="15.75" customHeight="1" s="163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</row>
    <row r="179" ht="15.75" customHeight="1" s="163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</row>
    <row r="180" ht="15.75" customHeight="1" s="163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</row>
    <row r="181" ht="15.75" customHeight="1" s="163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</row>
    <row r="182" ht="15.75" customHeight="1" s="163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</row>
    <row r="183" ht="15.75" customHeight="1" s="163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</row>
    <row r="184" ht="15.75" customHeight="1" s="163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</row>
    <row r="185" ht="15.75" customHeight="1" s="163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</row>
    <row r="186" ht="15.75" customHeight="1" s="163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</row>
    <row r="187" ht="15.75" customHeight="1" s="163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</row>
    <row r="188" ht="15.75" customHeight="1" s="163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</row>
    <row r="189" ht="15.75" customHeight="1" s="163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</row>
    <row r="190" ht="15.75" customHeight="1" s="163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</row>
    <row r="191" ht="15.75" customHeight="1" s="163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</row>
    <row r="192" ht="15.75" customHeight="1" s="163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</row>
    <row r="193" ht="15.75" customHeight="1" s="163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</row>
    <row r="194" ht="15.75" customHeight="1" s="163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</row>
    <row r="195" ht="15.75" customHeight="1" s="163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</row>
    <row r="196" ht="15.75" customHeight="1" s="163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</row>
    <row r="197" ht="15.75" customHeight="1" s="163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</row>
    <row r="198" ht="15.75" customHeight="1" s="163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</row>
    <row r="199" ht="15.75" customHeight="1" s="163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</row>
    <row r="200" ht="15.75" customHeight="1" s="163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</row>
    <row r="201" ht="15.75" customHeight="1" s="163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</row>
    <row r="202" ht="15.75" customHeight="1" s="163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</row>
    <row r="203" ht="15.75" customHeight="1" s="163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</row>
    <row r="204" ht="15.75" customHeight="1" s="163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</row>
    <row r="205" ht="15.75" customHeight="1" s="163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</row>
    <row r="206" ht="15.75" customHeight="1" s="163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</row>
    <row r="207" ht="15.75" customHeight="1" s="163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</row>
    <row r="208" ht="15.75" customHeight="1" s="163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</row>
    <row r="209" ht="15.75" customHeight="1" s="163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</row>
    <row r="210" ht="15.75" customHeight="1" s="163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</row>
    <row r="211" ht="15.75" customHeight="1" s="163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</row>
    <row r="212" ht="15.75" customHeight="1" s="163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</row>
    <row r="213" ht="15.75" customHeight="1" s="163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</row>
    <row r="214" ht="15.75" customHeight="1" s="163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</row>
    <row r="215" ht="15.75" customHeight="1" s="163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</row>
    <row r="216" ht="15.75" customHeight="1" s="163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</row>
    <row r="217" ht="15.75" customHeight="1" s="163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</row>
    <row r="218" ht="15.75" customHeight="1" s="163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</row>
    <row r="219" ht="15.75" customHeight="1" s="163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</row>
    <row r="220" ht="15.75" customHeight="1" s="163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</row>
    <row r="221" ht="15.75" customHeight="1" s="163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</row>
    <row r="222" ht="15.75" customHeight="1" s="163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</row>
    <row r="223" ht="15.75" customHeight="1" s="163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</row>
    <row r="224" ht="15.75" customHeight="1" s="163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</row>
    <row r="225" ht="15.75" customHeight="1" s="163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</row>
    <row r="226" ht="15.75" customHeight="1" s="163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</row>
    <row r="227" ht="15.75" customHeight="1" s="163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</row>
    <row r="228" ht="15.75" customHeight="1" s="163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</row>
    <row r="229" ht="15.75" customHeight="1" s="163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</row>
    <row r="230" ht="15.75" customHeight="1" s="163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</row>
    <row r="231" ht="15.75" customHeight="1" s="163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</row>
    <row r="232" ht="15.75" customHeight="1" s="163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</row>
    <row r="233" ht="15.75" customHeight="1" s="163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</row>
    <row r="234" ht="15.75" customHeight="1" s="163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</row>
    <row r="235" ht="15.75" customHeight="1" s="163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</row>
    <row r="236" ht="15.75" customHeight="1" s="163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</row>
    <row r="237" ht="15.75" customHeight="1" s="163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</row>
    <row r="238" ht="15.75" customHeight="1" s="163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</row>
    <row r="239" ht="15.75" customHeight="1" s="163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</row>
    <row r="240" ht="15.75" customHeight="1" s="163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</row>
    <row r="241" ht="15.75" customHeight="1" s="163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</row>
    <row r="242" ht="15.75" customHeight="1" s="163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</row>
    <row r="243" ht="15.75" customHeight="1" s="163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</row>
    <row r="244" ht="15.75" customHeight="1" s="163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</row>
    <row r="245" ht="15.75" customHeight="1" s="163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</row>
    <row r="246" ht="15.75" customHeight="1" s="163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</row>
    <row r="247" ht="15.75" customHeight="1" s="163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</row>
    <row r="248" ht="15.75" customHeight="1" s="163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</row>
    <row r="249" ht="15.75" customHeight="1" s="163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</row>
    <row r="250" ht="15.75" customHeight="1" s="163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</row>
    <row r="251" ht="15.75" customHeight="1" s="163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</row>
    <row r="252" ht="15.75" customHeight="1" s="163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</row>
    <row r="253" ht="15.75" customHeight="1" s="163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</row>
    <row r="254" ht="15.75" customHeight="1" s="163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</row>
    <row r="255" ht="15.75" customHeight="1" s="163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</row>
    <row r="256" ht="15.75" customHeight="1" s="163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</row>
    <row r="257" ht="15.75" customHeight="1" s="163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</row>
    <row r="258" ht="15.75" customHeight="1" s="163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</row>
    <row r="259" ht="15.75" customHeight="1" s="163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</row>
    <row r="260" ht="15.75" customHeight="1" s="163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</row>
    <row r="261" ht="15.75" customHeight="1" s="163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</row>
    <row r="262" ht="15.75" customHeight="1" s="163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</row>
    <row r="263" ht="15.75" customHeight="1" s="163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</row>
    <row r="264" ht="15.75" customHeight="1" s="163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</row>
    <row r="265" ht="15.75" customHeight="1" s="163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</row>
    <row r="266" ht="15.75" customHeight="1" s="163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</row>
    <row r="267" ht="15.75" customHeight="1" s="163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</row>
    <row r="268" ht="15.75" customHeight="1" s="163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</row>
    <row r="269" ht="15.75" customHeight="1" s="163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</row>
    <row r="270" ht="15.75" customHeight="1" s="163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</row>
    <row r="271" ht="15.75" customHeight="1" s="163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</row>
    <row r="272" ht="15.75" customHeight="1" s="163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</row>
    <row r="273" ht="15.75" customHeight="1" s="163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</row>
    <row r="274" ht="15.75" customHeight="1" s="163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</row>
    <row r="275" ht="15.75" customHeight="1" s="163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</row>
    <row r="276" ht="15.75" customHeight="1" s="163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</row>
    <row r="277" ht="15.75" customHeight="1" s="163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</row>
    <row r="278" ht="15.75" customHeight="1" s="163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</row>
    <row r="279" ht="15.75" customHeight="1" s="163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</row>
    <row r="280" ht="15.75" customHeight="1" s="163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</row>
    <row r="281" ht="15.75" customHeight="1" s="163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</row>
    <row r="282" ht="15.75" customHeight="1" s="163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</row>
  </sheetData>
  <mergeCells count="1">
    <mergeCell ref="B2:W10"/>
  </mergeCells>
  <printOptions horizontalCentered="1" gridLines="1"/>
  <pageMargins left="0.7" right="0.7" top="0.75" bottom="0.75" header="0" footer="0"/>
  <pageSetup orientation="portrait" paperSize="9" fitToHeight="0" pageOrder="overThenDown" cellComments="atEnd"/>
  <legacyDrawing xmlns:r="http://schemas.openxmlformats.org/officeDocument/2006/relationships" r:id="anysvml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D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63" min="1" max="6"/>
  </cols>
  <sheetData>
    <row r="1" ht="15.75" customHeight="1" s="163">
      <c r="A1" s="221" t="inlineStr">
        <is>
          <t xml:space="preserve">Château Del Mare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</t>
        </is>
      </c>
      <c r="B1" s="175" t="n"/>
      <c r="C1" s="175" t="n"/>
      <c r="D1" s="175" t="n"/>
      <c r="E1" s="175" t="n"/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5" t="n"/>
      <c r="P1" s="165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4" t="n"/>
      <c r="AH1" s="94" t="n"/>
      <c r="AI1" s="94" t="n"/>
      <c r="AJ1" s="94" t="n"/>
      <c r="AK1" s="94" t="n"/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4" t="n"/>
      <c r="BA1" s="94" t="n"/>
      <c r="BB1" s="94" t="n"/>
      <c r="BC1" s="94" t="n"/>
      <c r="BD1" s="94" t="n"/>
    </row>
    <row r="2" ht="15.75" customHeight="1" s="163">
      <c r="A2" s="168" t="n"/>
      <c r="P2" s="169" t="n"/>
      <c r="Q2" s="94" t="n"/>
      <c r="R2" s="94" t="n"/>
      <c r="S2" s="94" t="n"/>
      <c r="T2" s="94" t="n"/>
      <c r="U2" s="94" t="n"/>
      <c r="V2" s="94" t="n"/>
      <c r="W2" s="94" t="n"/>
      <c r="X2" s="94" t="n"/>
      <c r="Y2" s="94" t="n"/>
      <c r="Z2" s="94" t="n"/>
      <c r="AA2" s="94" t="n"/>
      <c r="AB2" s="94" t="n"/>
      <c r="AC2" s="94" t="n"/>
      <c r="AD2" s="94" t="n"/>
      <c r="AE2" s="94" t="n"/>
      <c r="AF2" s="94" t="n"/>
      <c r="AG2" s="94" t="n"/>
      <c r="AH2" s="94" t="n"/>
      <c r="AI2" s="94" t="n"/>
      <c r="AJ2" s="94" t="n"/>
      <c r="AK2" s="94" t="n"/>
      <c r="AL2" s="94" t="n"/>
      <c r="AM2" s="94" t="n"/>
      <c r="AN2" s="94" t="n"/>
      <c r="AO2" s="94" t="n"/>
      <c r="AP2" s="94" t="n"/>
      <c r="AQ2" s="94" t="n"/>
      <c r="AR2" s="94" t="n"/>
      <c r="AS2" s="94" t="n"/>
      <c r="AT2" s="94" t="n"/>
      <c r="AU2" s="94" t="n"/>
      <c r="AV2" s="94" t="n"/>
      <c r="AW2" s="94" t="n"/>
      <c r="AX2" s="94" t="n"/>
      <c r="AY2" s="94" t="n"/>
      <c r="AZ2" s="94" t="n"/>
      <c r="BA2" s="94" t="n"/>
      <c r="BB2" s="94" t="n"/>
      <c r="BC2" s="94" t="n"/>
      <c r="BD2" s="94" t="n"/>
    </row>
    <row r="3" ht="15.75" customHeight="1" s="163">
      <c r="A3" s="168" t="n"/>
      <c r="P3" s="169" t="n"/>
      <c r="Q3" s="94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4" t="n"/>
      <c r="AC3" s="94" t="n"/>
      <c r="AD3" s="94" t="n"/>
      <c r="AE3" s="94" t="n"/>
      <c r="AF3" s="94" t="n"/>
      <c r="AG3" s="94" t="n"/>
      <c r="AH3" s="94" t="n"/>
      <c r="AI3" s="94" t="n"/>
      <c r="AJ3" s="94" t="n"/>
      <c r="AK3" s="94" t="n"/>
      <c r="AL3" s="94" t="n"/>
      <c r="AM3" s="94" t="n"/>
      <c r="AN3" s="94" t="n"/>
      <c r="AO3" s="94" t="n"/>
      <c r="AP3" s="94" t="n"/>
      <c r="AQ3" s="94" t="n"/>
      <c r="AR3" s="94" t="n"/>
      <c r="AS3" s="94" t="n"/>
      <c r="AT3" s="94" t="n"/>
      <c r="AU3" s="94" t="n"/>
      <c r="AV3" s="94" t="n"/>
      <c r="AW3" s="94" t="n"/>
      <c r="AX3" s="94" t="n"/>
      <c r="AY3" s="94" t="n"/>
      <c r="AZ3" s="94" t="n"/>
      <c r="BA3" s="94" t="n"/>
      <c r="BB3" s="94" t="n"/>
      <c r="BC3" s="94" t="n"/>
      <c r="BD3" s="94" t="n"/>
    </row>
    <row r="4" ht="15.75" customHeight="1" s="163">
      <c r="A4" s="168" t="n"/>
      <c r="P4" s="169" t="n"/>
      <c r="Q4" s="94" t="n"/>
      <c r="R4" s="94" t="n"/>
      <c r="S4" s="94" t="n"/>
      <c r="T4" s="94" t="n"/>
      <c r="U4" s="94" t="n"/>
      <c r="V4" s="94" t="n"/>
      <c r="W4" s="94" t="n"/>
      <c r="X4" s="94" t="n"/>
      <c r="Y4" s="94" t="n"/>
      <c r="Z4" s="94" t="n"/>
      <c r="AA4" s="94" t="n"/>
      <c r="AB4" s="94" t="n"/>
      <c r="AC4" s="94" t="n"/>
      <c r="AD4" s="94" t="n"/>
      <c r="AE4" s="94" t="n"/>
      <c r="AF4" s="94" t="n"/>
      <c r="AG4" s="94" t="n"/>
      <c r="AH4" s="94" t="n"/>
      <c r="AI4" s="94" t="n"/>
      <c r="AJ4" s="94" t="n"/>
      <c r="AK4" s="94" t="n"/>
      <c r="AL4" s="94" t="n"/>
      <c r="AM4" s="94" t="n"/>
      <c r="AN4" s="94" t="n"/>
      <c r="AO4" s="94" t="n"/>
      <c r="AP4" s="94" t="n"/>
      <c r="AQ4" s="94" t="n"/>
      <c r="AR4" s="94" t="n"/>
      <c r="AS4" s="94" t="n"/>
      <c r="AT4" s="94" t="n"/>
      <c r="AU4" s="94" t="n"/>
      <c r="AV4" s="94" t="n"/>
      <c r="AW4" s="94" t="n"/>
      <c r="AX4" s="94" t="n"/>
      <c r="AY4" s="94" t="n"/>
      <c r="AZ4" s="94" t="n"/>
      <c r="BA4" s="94" t="n"/>
      <c r="BB4" s="94" t="n"/>
      <c r="BC4" s="94" t="n"/>
      <c r="BD4" s="94" t="n"/>
    </row>
    <row r="5" ht="15.75" customHeight="1" s="163">
      <c r="A5" s="168" t="n"/>
      <c r="P5" s="169" t="n"/>
      <c r="Q5" s="94" t="n"/>
      <c r="R5" s="94" t="n"/>
      <c r="S5" s="94" t="n"/>
      <c r="T5" s="94" t="n"/>
      <c r="U5" s="94" t="n"/>
      <c r="V5" s="94" t="n"/>
      <c r="W5" s="94" t="n"/>
      <c r="X5" s="94" t="n"/>
      <c r="Y5" s="94" t="n"/>
      <c r="Z5" s="94" t="n"/>
      <c r="AA5" s="94" t="n"/>
      <c r="AB5" s="94" t="n"/>
      <c r="AC5" s="94" t="n"/>
      <c r="AD5" s="94" t="n"/>
      <c r="AE5" s="94" t="n"/>
      <c r="AF5" s="94" t="n"/>
      <c r="AG5" s="94" t="n"/>
      <c r="AH5" s="94" t="n"/>
      <c r="AI5" s="94" t="n"/>
      <c r="AJ5" s="94" t="n"/>
      <c r="AK5" s="94" t="n"/>
      <c r="AL5" s="94" t="n"/>
      <c r="AM5" s="94" t="n"/>
      <c r="AN5" s="94" t="n"/>
      <c r="AO5" s="94" t="n"/>
      <c r="AP5" s="94" t="n"/>
      <c r="AQ5" s="94" t="n"/>
      <c r="AR5" s="94" t="n"/>
      <c r="AS5" s="94" t="n"/>
      <c r="AT5" s="94" t="n"/>
      <c r="AU5" s="94" t="n"/>
      <c r="AV5" s="94" t="n"/>
      <c r="AW5" s="94" t="n"/>
      <c r="AX5" s="94" t="n"/>
      <c r="AY5" s="94" t="n"/>
      <c r="AZ5" s="94" t="n"/>
      <c r="BA5" s="94" t="n"/>
      <c r="BB5" s="94" t="n"/>
      <c r="BC5" s="94" t="n"/>
      <c r="BD5" s="94" t="n"/>
    </row>
    <row r="6" ht="15.75" customHeight="1" s="163">
      <c r="A6" s="168" t="n"/>
      <c r="P6" s="169" t="n"/>
      <c r="Q6" s="94" t="n"/>
      <c r="R6" s="94" t="n"/>
      <c r="S6" s="94" t="n"/>
      <c r="T6" s="94" t="n"/>
      <c r="U6" s="94" t="n"/>
      <c r="V6" s="94" t="n"/>
      <c r="W6" s="94" t="n"/>
      <c r="X6" s="94" t="n"/>
      <c r="Y6" s="94" t="n"/>
      <c r="Z6" s="94" t="n"/>
      <c r="AA6" s="94" t="n"/>
      <c r="AB6" s="94" t="n"/>
      <c r="AC6" s="94" t="n"/>
      <c r="AD6" s="94" t="n"/>
      <c r="AE6" s="94" t="n"/>
      <c r="AF6" s="94" t="n"/>
      <c r="AG6" s="94" t="n"/>
      <c r="AH6" s="94" t="n"/>
      <c r="AI6" s="94" t="n"/>
      <c r="AJ6" s="94" t="n"/>
      <c r="AK6" s="94" t="n"/>
      <c r="AL6" s="94" t="n"/>
      <c r="AM6" s="94" t="n"/>
      <c r="AN6" s="94" t="n"/>
      <c r="AO6" s="94" t="n"/>
      <c r="AP6" s="94" t="n"/>
      <c r="AQ6" s="94" t="n"/>
      <c r="AR6" s="94" t="n"/>
      <c r="AS6" s="94" t="n"/>
      <c r="AT6" s="94" t="n"/>
      <c r="AU6" s="94" t="n"/>
      <c r="AV6" s="94" t="n"/>
      <c r="AW6" s="94" t="n"/>
      <c r="AX6" s="94" t="n"/>
      <c r="AY6" s="94" t="n"/>
      <c r="AZ6" s="94" t="n"/>
      <c r="BA6" s="94" t="n"/>
      <c r="BB6" s="94" t="n"/>
      <c r="BC6" s="94" t="n"/>
      <c r="BD6" s="94" t="n"/>
    </row>
    <row r="7" ht="15.75" customHeight="1" s="163">
      <c r="A7" s="168" t="n"/>
      <c r="P7" s="169" t="n"/>
      <c r="Q7" s="94" t="n"/>
      <c r="R7" s="94" t="n"/>
      <c r="S7" s="94" t="n"/>
      <c r="T7" s="94" t="n"/>
      <c r="U7" s="94" t="n"/>
      <c r="V7" s="94" t="n"/>
      <c r="W7" s="94" t="n"/>
      <c r="X7" s="94" t="n"/>
      <c r="Y7" s="94" t="n"/>
      <c r="Z7" s="94" t="n"/>
      <c r="AA7" s="94" t="n"/>
      <c r="AB7" s="94" t="n"/>
      <c r="AC7" s="94" t="n"/>
      <c r="AD7" s="94" t="n"/>
      <c r="AE7" s="94" t="n"/>
      <c r="AF7" s="94" t="n"/>
      <c r="AG7" s="94" t="n"/>
      <c r="AH7" s="94" t="n"/>
      <c r="AI7" s="94" t="n"/>
      <c r="AJ7" s="94" t="n"/>
      <c r="AK7" s="94" t="n"/>
      <c r="AL7" s="94" t="n"/>
      <c r="AM7" s="94" t="n"/>
      <c r="AN7" s="94" t="n"/>
      <c r="AO7" s="94" t="n"/>
      <c r="AP7" s="94" t="n"/>
      <c r="AQ7" s="94" t="n"/>
      <c r="AR7" s="94" t="n"/>
      <c r="AS7" s="94" t="n"/>
      <c r="AT7" s="94" t="n"/>
      <c r="AU7" s="94" t="n"/>
      <c r="AV7" s="94" t="n"/>
      <c r="AW7" s="94" t="n"/>
      <c r="AX7" s="94" t="n"/>
      <c r="AY7" s="94" t="n"/>
      <c r="AZ7" s="94" t="n"/>
      <c r="BA7" s="94" t="n"/>
      <c r="BB7" s="94" t="n"/>
      <c r="BC7" s="94" t="n"/>
      <c r="BD7" s="94" t="n"/>
    </row>
    <row r="8" ht="15.75" customHeight="1" s="163">
      <c r="A8" s="168" t="n"/>
      <c r="P8" s="169" t="n"/>
      <c r="Q8" s="94" t="n"/>
      <c r="R8" s="94" t="n"/>
      <c r="S8" s="94" t="n"/>
      <c r="T8" s="94" t="n"/>
      <c r="U8" s="94" t="n"/>
      <c r="V8" s="94" t="n"/>
      <c r="W8" s="94" t="n"/>
      <c r="X8" s="94" t="n"/>
      <c r="Y8" s="94" t="n"/>
      <c r="Z8" s="94" t="n"/>
      <c r="AA8" s="94" t="n"/>
      <c r="AB8" s="94" t="n"/>
      <c r="AC8" s="94" t="n"/>
      <c r="AD8" s="94" t="n"/>
      <c r="AE8" s="94" t="n"/>
      <c r="AF8" s="94" t="n"/>
      <c r="AG8" s="94" t="n"/>
      <c r="AH8" s="94" t="n"/>
      <c r="AI8" s="94" t="n"/>
      <c r="AJ8" s="94" t="n"/>
      <c r="AK8" s="94" t="n"/>
      <c r="AL8" s="94" t="n"/>
      <c r="AM8" s="94" t="n"/>
      <c r="AN8" s="94" t="n"/>
      <c r="AO8" s="94" t="n"/>
      <c r="AP8" s="94" t="n"/>
      <c r="AQ8" s="94" t="n"/>
      <c r="AR8" s="94" t="n"/>
      <c r="AS8" s="94" t="n"/>
      <c r="AT8" s="94" t="n"/>
      <c r="AU8" s="94" t="n"/>
      <c r="AV8" s="94" t="n"/>
      <c r="AW8" s="94" t="n"/>
      <c r="AX8" s="94" t="n"/>
      <c r="AY8" s="94" t="n"/>
      <c r="AZ8" s="94" t="n"/>
      <c r="BA8" s="94" t="n"/>
      <c r="BB8" s="94" t="n"/>
      <c r="BC8" s="94" t="n"/>
      <c r="BD8" s="94" t="n"/>
    </row>
    <row r="9" ht="15.75" customHeight="1" s="163">
      <c r="A9" s="170" t="n"/>
      <c r="B9" s="178" t="n"/>
      <c r="C9" s="178" t="n"/>
      <c r="D9" s="178" t="n"/>
      <c r="E9" s="178" t="n"/>
      <c r="F9" s="178" t="n"/>
      <c r="G9" s="178" t="n"/>
      <c r="H9" s="178" t="n"/>
      <c r="I9" s="178" t="n"/>
      <c r="J9" s="178" t="n"/>
      <c r="K9" s="178" t="n"/>
      <c r="L9" s="178" t="n"/>
      <c r="M9" s="178" t="n"/>
      <c r="N9" s="178" t="n"/>
      <c r="O9" s="178" t="n"/>
      <c r="P9" s="171" t="n"/>
      <c r="Q9" s="94" t="n"/>
      <c r="R9" s="94" t="n"/>
      <c r="S9" s="94" t="n"/>
      <c r="T9" s="94" t="n"/>
      <c r="U9" s="94" t="n"/>
      <c r="V9" s="94" t="n"/>
      <c r="W9" s="94" t="n"/>
      <c r="X9" s="94" t="n"/>
      <c r="Y9" s="94" t="n"/>
      <c r="Z9" s="94" t="n"/>
      <c r="AA9" s="94" t="n"/>
      <c r="AB9" s="94" t="n"/>
      <c r="AC9" s="94" t="n"/>
      <c r="AD9" s="94" t="n"/>
      <c r="AE9" s="94" t="n"/>
      <c r="AF9" s="94" t="n"/>
      <c r="AG9" s="94" t="n"/>
      <c r="AH9" s="94" t="n"/>
      <c r="AI9" s="94" t="n"/>
      <c r="AJ9" s="94" t="n"/>
      <c r="AK9" s="94" t="n"/>
      <c r="AL9" s="94" t="n"/>
      <c r="AM9" s="94" t="n"/>
      <c r="AN9" s="94" t="n"/>
      <c r="AO9" s="94" t="n"/>
      <c r="AP9" s="94" t="n"/>
      <c r="AQ9" s="94" t="n"/>
      <c r="AR9" s="94" t="n"/>
      <c r="AS9" s="94" t="n"/>
      <c r="AT9" s="94" t="n"/>
      <c r="AU9" s="94" t="n"/>
      <c r="AV9" s="94" t="n"/>
      <c r="AW9" s="94" t="n"/>
      <c r="AX9" s="94" t="n"/>
      <c r="AY9" s="94" t="n"/>
      <c r="AZ9" s="94" t="n"/>
      <c r="BA9" s="94" t="n"/>
      <c r="BB9" s="94" t="n"/>
      <c r="BC9" s="94" t="n"/>
      <c r="BD9" s="94" t="n"/>
    </row>
    <row r="10" ht="15.75" customHeight="1" s="163">
      <c r="A10" s="94" t="n"/>
      <c r="B10" s="222" t="inlineStr">
        <is>
          <t>Екатериниская</t>
        </is>
      </c>
      <c r="C10" s="223" t="n"/>
      <c r="D10" s="223" t="n"/>
      <c r="E10" s="223" t="n"/>
      <c r="F10" s="223" t="n"/>
      <c r="G10" s="223" t="n"/>
      <c r="H10" s="223" t="n"/>
      <c r="I10" s="223" t="n"/>
      <c r="J10" s="223" t="n"/>
      <c r="K10" s="223" t="n"/>
      <c r="L10" s="223" t="n"/>
      <c r="M10" s="223" t="n"/>
      <c r="N10" s="223" t="n"/>
      <c r="O10" s="223" t="n"/>
      <c r="P10" s="223" t="n"/>
      <c r="Q10" s="182" t="n"/>
      <c r="R10" s="94" t="n"/>
      <c r="S10" s="94" t="n"/>
      <c r="T10" s="222" t="inlineStr">
        <is>
          <t>Екатериниская</t>
        </is>
      </c>
      <c r="U10" s="223" t="n"/>
      <c r="V10" s="223" t="n"/>
      <c r="W10" s="223" t="n"/>
      <c r="X10" s="223" t="n"/>
      <c r="Y10" s="223" t="n"/>
      <c r="Z10" s="223" t="n"/>
      <c r="AA10" s="223" t="n"/>
      <c r="AB10" s="223" t="n"/>
      <c r="AC10" s="223" t="n"/>
      <c r="AD10" s="223" t="n"/>
      <c r="AE10" s="223" t="n"/>
      <c r="AF10" s="223" t="n"/>
      <c r="AG10" s="223" t="n"/>
      <c r="AH10" s="223" t="n"/>
      <c r="AI10" s="182" t="n"/>
      <c r="AJ10" s="94" t="n"/>
      <c r="AK10" s="94" t="n"/>
      <c r="AL10" s="222" t="inlineStr">
        <is>
          <t>Екатериниская</t>
        </is>
      </c>
      <c r="AM10" s="223" t="n"/>
      <c r="AN10" s="223" t="n"/>
      <c r="AO10" s="223" t="n"/>
      <c r="AP10" s="223" t="n"/>
      <c r="AQ10" s="223" t="n"/>
      <c r="AR10" s="223" t="n"/>
      <c r="AS10" s="223" t="n"/>
      <c r="AT10" s="223" t="n"/>
      <c r="AU10" s="223" t="n"/>
      <c r="AV10" s="223" t="n"/>
      <c r="AW10" s="223" t="n"/>
      <c r="AX10" s="223" t="n"/>
      <c r="AY10" s="223" t="n"/>
      <c r="AZ10" s="223" t="n"/>
      <c r="BA10" s="182" t="n"/>
      <c r="BB10" s="94" t="n"/>
      <c r="BC10" s="94" t="n"/>
      <c r="BD10" s="94" t="n"/>
    </row>
    <row r="11" ht="15.75" customHeight="1" s="163">
      <c r="A11" s="94" t="n"/>
      <c r="B11" s="186" t="n"/>
      <c r="C11" s="198" t="n"/>
      <c r="D11" s="198" t="n"/>
      <c r="E11" s="198" t="n"/>
      <c r="F11" s="198" t="n"/>
      <c r="G11" s="198" t="n"/>
      <c r="H11" s="198" t="n"/>
      <c r="I11" s="198" t="n"/>
      <c r="J11" s="198" t="n"/>
      <c r="K11" s="198" t="n"/>
      <c r="L11" s="198" t="n"/>
      <c r="M11" s="198" t="n"/>
      <c r="N11" s="198" t="n"/>
      <c r="O11" s="198" t="n"/>
      <c r="P11" s="198" t="n"/>
      <c r="Q11" s="185" t="n"/>
      <c r="R11" s="94" t="n"/>
      <c r="S11" s="94" t="n"/>
      <c r="T11" s="186" t="n"/>
      <c r="U11" s="198" t="n"/>
      <c r="V11" s="198" t="n"/>
      <c r="W11" s="198" t="n"/>
      <c r="X11" s="198" t="n"/>
      <c r="Y11" s="198" t="n"/>
      <c r="Z11" s="198" t="n"/>
      <c r="AA11" s="198" t="n"/>
      <c r="AB11" s="198" t="n"/>
      <c r="AC11" s="198" t="n"/>
      <c r="AD11" s="198" t="n"/>
      <c r="AE11" s="198" t="n"/>
      <c r="AF11" s="198" t="n"/>
      <c r="AG11" s="198" t="n"/>
      <c r="AH11" s="198" t="n"/>
      <c r="AI11" s="185" t="n"/>
      <c r="AJ11" s="94" t="n"/>
      <c r="AK11" s="94" t="n"/>
      <c r="AL11" s="186" t="n"/>
      <c r="AM11" s="198" t="n"/>
      <c r="AN11" s="198" t="n"/>
      <c r="AO11" s="198" t="n"/>
      <c r="AP11" s="198" t="n"/>
      <c r="AQ11" s="198" t="n"/>
      <c r="AR11" s="198" t="n"/>
      <c r="AS11" s="198" t="n"/>
      <c r="AT11" s="198" t="n"/>
      <c r="AU11" s="198" t="n"/>
      <c r="AV11" s="198" t="n"/>
      <c r="AW11" s="198" t="n"/>
      <c r="AX11" s="198" t="n"/>
      <c r="AY11" s="198" t="n"/>
      <c r="AZ11" s="198" t="n"/>
      <c r="BA11" s="185" t="n"/>
      <c r="BB11" s="94" t="n"/>
      <c r="BC11" s="94" t="n"/>
      <c r="BD11" s="94" t="n"/>
    </row>
    <row r="12" ht="15.75" customHeight="1" s="163">
      <c r="A12" s="94" t="n"/>
      <c r="B12" s="146" t="inlineStr">
        <is>
          <t>№ 1</t>
        </is>
      </c>
      <c r="C12" s="147" t="inlineStr">
        <is>
          <t>Коммерция</t>
        </is>
      </c>
      <c r="D12" s="146" t="inlineStr">
        <is>
          <t>№ 2</t>
        </is>
      </c>
      <c r="E12" s="147" t="inlineStr">
        <is>
          <t>Коммерция</t>
        </is>
      </c>
      <c r="F12" s="146" t="inlineStr">
        <is>
          <t>№ 2</t>
        </is>
      </c>
      <c r="G12" s="147" t="inlineStr">
        <is>
          <t>Коммерция</t>
        </is>
      </c>
      <c r="H12" s="146" t="inlineStr">
        <is>
          <t>№ 2</t>
        </is>
      </c>
      <c r="I12" s="147" t="inlineStr">
        <is>
          <t>Коммерция</t>
        </is>
      </c>
      <c r="J12" s="146" t="inlineStr">
        <is>
          <t>№ 3</t>
        </is>
      </c>
      <c r="K12" s="147" t="inlineStr">
        <is>
          <t>Коммерция</t>
        </is>
      </c>
      <c r="L12" s="146" t="inlineStr">
        <is>
          <t>№ 3</t>
        </is>
      </c>
      <c r="M12" s="147" t="inlineStr">
        <is>
          <t>Коммерция</t>
        </is>
      </c>
      <c r="N12" s="146" t="inlineStr">
        <is>
          <t>№ 3</t>
        </is>
      </c>
      <c r="O12" s="147" t="inlineStr">
        <is>
          <t>Коммерция</t>
        </is>
      </c>
      <c r="P12" s="146" t="inlineStr">
        <is>
          <t>№ 4</t>
        </is>
      </c>
      <c r="Q12" s="147" t="inlineStr">
        <is>
          <t>Коммерция</t>
        </is>
      </c>
      <c r="R12" s="94" t="n"/>
      <c r="S12" s="94" t="n"/>
      <c r="T12" s="146" t="inlineStr">
        <is>
          <t>№ 2</t>
        </is>
      </c>
      <c r="U12" s="147" t="inlineStr">
        <is>
          <t>Коммерция</t>
        </is>
      </c>
      <c r="V12" s="146" t="inlineStr">
        <is>
          <t>№ 3</t>
        </is>
      </c>
      <c r="W12" s="147" t="inlineStr">
        <is>
          <t>Коммерция</t>
        </is>
      </c>
      <c r="X12" s="146" t="inlineStr">
        <is>
          <t>№ 3</t>
        </is>
      </c>
      <c r="Y12" s="147" t="inlineStr">
        <is>
          <t>Коммерция</t>
        </is>
      </c>
      <c r="Z12" s="146" t="inlineStr">
        <is>
          <t>№ 3</t>
        </is>
      </c>
      <c r="AA12" s="147" t="inlineStr">
        <is>
          <t>Коммерция</t>
        </is>
      </c>
      <c r="AB12" s="146" t="inlineStr">
        <is>
          <t>№ 4</t>
        </is>
      </c>
      <c r="AC12" s="147" t="inlineStr">
        <is>
          <t>Коммерция</t>
        </is>
      </c>
      <c r="AD12" s="146" t="inlineStr">
        <is>
          <t>№ 4</t>
        </is>
      </c>
      <c r="AE12" s="147" t="inlineStr">
        <is>
          <t>Коммерция</t>
        </is>
      </c>
      <c r="AF12" s="146" t="inlineStr">
        <is>
          <t>№ 4</t>
        </is>
      </c>
      <c r="AG12" s="147" t="inlineStr">
        <is>
          <t>Коммерция</t>
        </is>
      </c>
      <c r="AH12" s="146" t="inlineStr">
        <is>
          <t>№ 5</t>
        </is>
      </c>
      <c r="AI12" s="147" t="inlineStr">
        <is>
          <t>Коммерция</t>
        </is>
      </c>
      <c r="AJ12" s="94" t="n"/>
      <c r="AK12" s="94" t="n"/>
      <c r="AL12" s="146" t="inlineStr">
        <is>
          <t>№ 3</t>
        </is>
      </c>
      <c r="AM12" s="147" t="inlineStr">
        <is>
          <t>Коммерция</t>
        </is>
      </c>
      <c r="AN12" s="146" t="inlineStr">
        <is>
          <t>№ 4</t>
        </is>
      </c>
      <c r="AO12" s="147" t="inlineStr">
        <is>
          <t>Коммерция</t>
        </is>
      </c>
      <c r="AP12" s="146" t="inlineStr">
        <is>
          <t>№ 4</t>
        </is>
      </c>
      <c r="AQ12" s="147" t="inlineStr">
        <is>
          <t>Коммерция</t>
        </is>
      </c>
      <c r="AR12" s="146" t="inlineStr">
        <is>
          <t>№ 4</t>
        </is>
      </c>
      <c r="AS12" s="147" t="inlineStr">
        <is>
          <t>Коммерция</t>
        </is>
      </c>
      <c r="AT12" s="146" t="inlineStr">
        <is>
          <t>№ 5</t>
        </is>
      </c>
      <c r="AU12" s="147" t="inlineStr">
        <is>
          <t>Коммерция</t>
        </is>
      </c>
      <c r="AV12" s="146" t="inlineStr">
        <is>
          <t>№ 5</t>
        </is>
      </c>
      <c r="AW12" s="147" t="inlineStr">
        <is>
          <t>Коммерция</t>
        </is>
      </c>
      <c r="AX12" s="146" t="inlineStr">
        <is>
          <t>№ 5</t>
        </is>
      </c>
      <c r="AY12" s="147" t="inlineStr">
        <is>
          <t>Коммерция</t>
        </is>
      </c>
      <c r="AZ12" s="146" t="inlineStr">
        <is>
          <t>№ 6</t>
        </is>
      </c>
      <c r="BA12" s="147" t="inlineStr">
        <is>
          <t>Коммерция</t>
        </is>
      </c>
      <c r="BB12" s="94" t="n"/>
      <c r="BC12" s="94" t="n"/>
      <c r="BD12" s="94" t="n"/>
    </row>
    <row r="13" ht="15.75" customHeight="1" s="163">
      <c r="A13" s="94" t="n"/>
      <c r="B13" s="148" t="inlineStr">
        <is>
          <t>ЦЕНА:</t>
        </is>
      </c>
      <c r="C13" s="149" t="inlineStr">
        <is>
          <t>ПРОДАНО</t>
        </is>
      </c>
      <c r="D13" s="148" t="inlineStr">
        <is>
          <t>ЦЕНА:</t>
        </is>
      </c>
      <c r="E13" s="149" t="inlineStr">
        <is>
          <t>ПРОДАНО</t>
        </is>
      </c>
      <c r="F13" s="148" t="inlineStr">
        <is>
          <t>ЦЕНА:</t>
        </is>
      </c>
      <c r="G13" s="149" t="inlineStr">
        <is>
          <t>ПРОДАНО</t>
        </is>
      </c>
      <c r="H13" s="148" t="inlineStr">
        <is>
          <t>ЦЕНА:</t>
        </is>
      </c>
      <c r="I13" s="149" t="inlineStr">
        <is>
          <t>ПРОДАНО</t>
        </is>
      </c>
      <c r="J13" s="148" t="inlineStr">
        <is>
          <t>ЦЕНА:</t>
        </is>
      </c>
      <c r="K13" s="149" t="inlineStr">
        <is>
          <t>ПРОДАНО</t>
        </is>
      </c>
      <c r="L13" s="148" t="inlineStr">
        <is>
          <t>ЦЕНА:</t>
        </is>
      </c>
      <c r="M13" s="149" t="inlineStr">
        <is>
          <t>ПРОДАНО</t>
        </is>
      </c>
      <c r="N13" s="148" t="inlineStr">
        <is>
          <t>ЦЕНА:</t>
        </is>
      </c>
      <c r="O13" s="149" t="inlineStr">
        <is>
          <t>ПРОДАНО</t>
        </is>
      </c>
      <c r="P13" s="148" t="inlineStr">
        <is>
          <t>ЦЕНА:</t>
        </is>
      </c>
      <c r="Q13" s="149" t="inlineStr">
        <is>
          <t>ПРОДАНО</t>
        </is>
      </c>
      <c r="R13" s="94" t="n"/>
      <c r="S13" s="94" t="n"/>
      <c r="T13" s="148" t="inlineStr">
        <is>
          <t>ЦЕНА:</t>
        </is>
      </c>
      <c r="U13" s="149" t="inlineStr">
        <is>
          <t>ПРОДАНО</t>
        </is>
      </c>
      <c r="V13" s="148" t="inlineStr">
        <is>
          <t>ЦЕНА:</t>
        </is>
      </c>
      <c r="W13" s="149" t="inlineStr">
        <is>
          <t>ПРОДАНО</t>
        </is>
      </c>
      <c r="X13" s="148" t="inlineStr">
        <is>
          <t>ЦЕНА:</t>
        </is>
      </c>
      <c r="Y13" s="149" t="inlineStr">
        <is>
          <t>ПРОДАНО</t>
        </is>
      </c>
      <c r="Z13" s="148" t="inlineStr">
        <is>
          <t>ЦЕНА:</t>
        </is>
      </c>
      <c r="AA13" s="149" t="inlineStr">
        <is>
          <t>ПРОДАНО</t>
        </is>
      </c>
      <c r="AB13" s="148" t="inlineStr">
        <is>
          <t>ЦЕНА:</t>
        </is>
      </c>
      <c r="AC13" s="149" t="inlineStr">
        <is>
          <t>ПРОДАНО</t>
        </is>
      </c>
      <c r="AD13" s="148" t="inlineStr">
        <is>
          <t>ЦЕНА:</t>
        </is>
      </c>
      <c r="AE13" s="149" t="inlineStr">
        <is>
          <t>ПРОДАНО</t>
        </is>
      </c>
      <c r="AF13" s="148" t="inlineStr">
        <is>
          <t>ЦЕНА:</t>
        </is>
      </c>
      <c r="AG13" s="149" t="inlineStr">
        <is>
          <t>ПРОДАНО</t>
        </is>
      </c>
      <c r="AH13" s="148" t="inlineStr">
        <is>
          <t>ЦЕНА:</t>
        </is>
      </c>
      <c r="AI13" s="149" t="inlineStr">
        <is>
          <t>ПРОДАНО</t>
        </is>
      </c>
      <c r="AJ13" s="94" t="n"/>
      <c r="AK13" s="94" t="n"/>
      <c r="AL13" s="148" t="inlineStr">
        <is>
          <t>ЦЕНА:</t>
        </is>
      </c>
      <c r="AM13" s="149" t="inlineStr">
        <is>
          <t>ПРОДАНО</t>
        </is>
      </c>
      <c r="AN13" s="148" t="inlineStr">
        <is>
          <t>ЦЕНА:</t>
        </is>
      </c>
      <c r="AO13" s="149" t="inlineStr">
        <is>
          <t>ПРОДАНО</t>
        </is>
      </c>
      <c r="AP13" s="148" t="inlineStr">
        <is>
          <t>ЦЕНА:</t>
        </is>
      </c>
      <c r="AQ13" s="149" t="inlineStr">
        <is>
          <t>ПРОДАНО</t>
        </is>
      </c>
      <c r="AR13" s="148" t="inlineStr">
        <is>
          <t>ЦЕНА:</t>
        </is>
      </c>
      <c r="AS13" s="149" t="inlineStr">
        <is>
          <t>ПРОДАНО</t>
        </is>
      </c>
      <c r="AT13" s="148" t="inlineStr">
        <is>
          <t>ЦЕНА:</t>
        </is>
      </c>
      <c r="AU13" s="149" t="inlineStr">
        <is>
          <t>ПРОДАНО</t>
        </is>
      </c>
      <c r="AV13" s="148" t="inlineStr">
        <is>
          <t>ЦЕНА:</t>
        </is>
      </c>
      <c r="AW13" s="149" t="inlineStr">
        <is>
          <t>ПРОДАНО</t>
        </is>
      </c>
      <c r="AX13" s="148" t="inlineStr">
        <is>
          <t>ЦЕНА:</t>
        </is>
      </c>
      <c r="AY13" s="149" t="inlineStr">
        <is>
          <t>ПРОДАНО</t>
        </is>
      </c>
      <c r="AZ13" s="148" t="inlineStr">
        <is>
          <t>ЦЕНА:</t>
        </is>
      </c>
      <c r="BA13" s="149" t="inlineStr">
        <is>
          <t>ПРОДАНО</t>
        </is>
      </c>
      <c r="BB13" s="94" t="n"/>
      <c r="BC13" s="94" t="n"/>
      <c r="BD13" s="94" t="n"/>
    </row>
    <row r="14" ht="15.75" customHeight="1" s="163">
      <c r="A14" s="94" t="n"/>
      <c r="B14" s="150" t="inlineStr">
        <is>
          <t>ПЛОЩАДЬ:</t>
        </is>
      </c>
      <c r="C14" s="151" t="n">
        <v>62</v>
      </c>
      <c r="D14" s="150" t="inlineStr">
        <is>
          <t>ПЛОЩАДЬ:</t>
        </is>
      </c>
      <c r="E14" s="151" t="n">
        <v>63</v>
      </c>
      <c r="F14" s="150" t="inlineStr">
        <is>
          <t>ПЛОЩАДЬ:</t>
        </is>
      </c>
      <c r="G14" s="151" t="n">
        <v>63</v>
      </c>
      <c r="H14" s="150" t="inlineStr">
        <is>
          <t>ПЛОЩАДЬ:</t>
        </is>
      </c>
      <c r="I14" s="151" t="n">
        <v>63</v>
      </c>
      <c r="J14" s="150" t="inlineStr">
        <is>
          <t>ПЛОЩАДЬ:</t>
        </is>
      </c>
      <c r="K14" s="151" t="n">
        <v>64</v>
      </c>
      <c r="L14" s="150" t="inlineStr">
        <is>
          <t>ПЛОЩАДЬ:</t>
        </is>
      </c>
      <c r="M14" s="151" t="n">
        <v>64</v>
      </c>
      <c r="N14" s="150" t="inlineStr">
        <is>
          <t>ПЛОЩАДЬ:</t>
        </is>
      </c>
      <c r="O14" s="151" t="n">
        <v>64</v>
      </c>
      <c r="P14" s="150" t="inlineStr">
        <is>
          <t>ПЛОЩАДЬ:</t>
        </is>
      </c>
      <c r="Q14" s="151" t="n">
        <v>65</v>
      </c>
      <c r="R14" s="94" t="n"/>
      <c r="S14" s="94" t="n"/>
      <c r="T14" s="150" t="inlineStr">
        <is>
          <t>ПЛОЩАДЬ:</t>
        </is>
      </c>
      <c r="U14" s="151" t="n">
        <v>63</v>
      </c>
      <c r="V14" s="150" t="inlineStr">
        <is>
          <t>ПЛОЩАДЬ:</t>
        </is>
      </c>
      <c r="W14" s="151" t="n">
        <v>64</v>
      </c>
      <c r="X14" s="150" t="inlineStr">
        <is>
          <t>ПЛОЩАДЬ:</t>
        </is>
      </c>
      <c r="Y14" s="151" t="n">
        <v>64</v>
      </c>
      <c r="Z14" s="150" t="inlineStr">
        <is>
          <t>ПЛОЩАДЬ:</t>
        </is>
      </c>
      <c r="AA14" s="151" t="n">
        <v>64</v>
      </c>
      <c r="AB14" s="150" t="inlineStr">
        <is>
          <t>ПЛОЩАДЬ:</t>
        </is>
      </c>
      <c r="AC14" s="151" t="n">
        <v>65</v>
      </c>
      <c r="AD14" s="150" t="inlineStr">
        <is>
          <t>ПЛОЩАДЬ:</t>
        </is>
      </c>
      <c r="AE14" s="151" t="n">
        <v>65</v>
      </c>
      <c r="AF14" s="150" t="inlineStr">
        <is>
          <t>ПЛОЩАДЬ:</t>
        </is>
      </c>
      <c r="AG14" s="151" t="n">
        <v>65</v>
      </c>
      <c r="AH14" s="150" t="inlineStr">
        <is>
          <t>ПЛОЩАДЬ:</t>
        </is>
      </c>
      <c r="AI14" s="151" t="n">
        <v>66</v>
      </c>
      <c r="AJ14" s="94" t="n"/>
      <c r="AK14" s="94" t="n"/>
      <c r="AL14" s="150" t="inlineStr">
        <is>
          <t>ПЛОЩАДЬ:</t>
        </is>
      </c>
      <c r="AM14" s="151" t="n">
        <v>64</v>
      </c>
      <c r="AN14" s="150" t="inlineStr">
        <is>
          <t>ПЛОЩАДЬ:</t>
        </is>
      </c>
      <c r="AO14" s="151" t="n">
        <v>65</v>
      </c>
      <c r="AP14" s="150" t="inlineStr">
        <is>
          <t>ПЛОЩАДЬ:</t>
        </is>
      </c>
      <c r="AQ14" s="151" t="n">
        <v>65</v>
      </c>
      <c r="AR14" s="150" t="inlineStr">
        <is>
          <t>ПЛОЩАДЬ:</t>
        </is>
      </c>
      <c r="AS14" s="151" t="n">
        <v>65</v>
      </c>
      <c r="AT14" s="150" t="inlineStr">
        <is>
          <t>ПЛОЩАДЬ:</t>
        </is>
      </c>
      <c r="AU14" s="151" t="n">
        <v>66</v>
      </c>
      <c r="AV14" s="150" t="inlineStr">
        <is>
          <t>ПЛОЩАДЬ:</t>
        </is>
      </c>
      <c r="AW14" s="151" t="n">
        <v>66</v>
      </c>
      <c r="AX14" s="150" t="inlineStr">
        <is>
          <t>ПЛОЩАДЬ:</t>
        </is>
      </c>
      <c r="AY14" s="151" t="n">
        <v>66</v>
      </c>
      <c r="AZ14" s="150" t="inlineStr">
        <is>
          <t>ПЛОЩАДЬ:</t>
        </is>
      </c>
      <c r="BA14" s="151" t="n">
        <v>67</v>
      </c>
      <c r="BB14" s="94" t="n"/>
      <c r="BC14" s="94" t="n"/>
      <c r="BD14" s="94" t="n"/>
    </row>
    <row r="15" ht="15.75" customHeight="1" s="163">
      <c r="A15" s="94" t="n"/>
      <c r="B15" s="146" t="inlineStr">
        <is>
          <t>№ 2</t>
        </is>
      </c>
      <c r="C15" s="147" t="inlineStr">
        <is>
          <t>Коммерция</t>
        </is>
      </c>
      <c r="D15" s="146" t="inlineStr">
        <is>
          <t>№ 3</t>
        </is>
      </c>
      <c r="E15" s="147" t="inlineStr">
        <is>
          <t>Коммерция</t>
        </is>
      </c>
      <c r="F15" s="146" t="inlineStr">
        <is>
          <t>№ 3</t>
        </is>
      </c>
      <c r="G15" s="147" t="inlineStr">
        <is>
          <t>Коммерция</t>
        </is>
      </c>
      <c r="H15" s="146" t="inlineStr">
        <is>
          <t>№ 3</t>
        </is>
      </c>
      <c r="I15" s="147" t="inlineStr">
        <is>
          <t>Коммерция</t>
        </is>
      </c>
      <c r="J15" s="146" t="inlineStr">
        <is>
          <t>№ 4</t>
        </is>
      </c>
      <c r="K15" s="147" t="inlineStr">
        <is>
          <t>Коммерция</t>
        </is>
      </c>
      <c r="L15" s="146" t="inlineStr">
        <is>
          <t>№ 4</t>
        </is>
      </c>
      <c r="M15" s="147" t="inlineStr">
        <is>
          <t>Коммерция</t>
        </is>
      </c>
      <c r="N15" s="146" t="inlineStr">
        <is>
          <t>№ 4</t>
        </is>
      </c>
      <c r="O15" s="147" t="inlineStr">
        <is>
          <t>Коммерция</t>
        </is>
      </c>
      <c r="P15" s="146" t="inlineStr">
        <is>
          <t>№ 5</t>
        </is>
      </c>
      <c r="Q15" s="147" t="inlineStr">
        <is>
          <t>Коммерция</t>
        </is>
      </c>
      <c r="R15" s="94" t="n"/>
      <c r="S15" s="94" t="n"/>
      <c r="T15" s="146" t="inlineStr">
        <is>
          <t>№ 3</t>
        </is>
      </c>
      <c r="U15" s="147" t="inlineStr">
        <is>
          <t>Коммерция</t>
        </is>
      </c>
      <c r="V15" s="146" t="inlineStr">
        <is>
          <t>№ 4</t>
        </is>
      </c>
      <c r="W15" s="147" t="inlineStr">
        <is>
          <t>Коммерция</t>
        </is>
      </c>
      <c r="X15" s="146" t="inlineStr">
        <is>
          <t>№ 4</t>
        </is>
      </c>
      <c r="Y15" s="147" t="inlineStr">
        <is>
          <t>Коммерция</t>
        </is>
      </c>
      <c r="Z15" s="146" t="inlineStr">
        <is>
          <t>№ 4</t>
        </is>
      </c>
      <c r="AA15" s="147" t="inlineStr">
        <is>
          <t>Коммерция</t>
        </is>
      </c>
      <c r="AB15" s="146" t="inlineStr">
        <is>
          <t>№ 5</t>
        </is>
      </c>
      <c r="AC15" s="147" t="inlineStr">
        <is>
          <t>Коммерция</t>
        </is>
      </c>
      <c r="AD15" s="146" t="inlineStr">
        <is>
          <t>№ 5</t>
        </is>
      </c>
      <c r="AE15" s="147" t="inlineStr">
        <is>
          <t>Коммерция</t>
        </is>
      </c>
      <c r="AF15" s="146" t="inlineStr">
        <is>
          <t>№ 5</t>
        </is>
      </c>
      <c r="AG15" s="147" t="inlineStr">
        <is>
          <t>Коммерция</t>
        </is>
      </c>
      <c r="AH15" s="146" t="inlineStr">
        <is>
          <t>№ 6</t>
        </is>
      </c>
      <c r="AI15" s="147" t="inlineStr">
        <is>
          <t>Коммерция</t>
        </is>
      </c>
      <c r="AJ15" s="94" t="n"/>
      <c r="AK15" s="94" t="n"/>
      <c r="AL15" s="146" t="inlineStr">
        <is>
          <t>№ 4</t>
        </is>
      </c>
      <c r="AM15" s="147" t="inlineStr">
        <is>
          <t>Коммерция</t>
        </is>
      </c>
      <c r="AN15" s="146" t="inlineStr">
        <is>
          <t>№ 5</t>
        </is>
      </c>
      <c r="AO15" s="147" t="inlineStr">
        <is>
          <t>Коммерция</t>
        </is>
      </c>
      <c r="AP15" s="146" t="inlineStr">
        <is>
          <t>№ 5</t>
        </is>
      </c>
      <c r="AQ15" s="147" t="inlineStr">
        <is>
          <t>Коммерция</t>
        </is>
      </c>
      <c r="AR15" s="146" t="inlineStr">
        <is>
          <t>№ 5</t>
        </is>
      </c>
      <c r="AS15" s="147" t="inlineStr">
        <is>
          <t>Коммерция</t>
        </is>
      </c>
      <c r="AT15" s="146" t="inlineStr">
        <is>
          <t>№ 6</t>
        </is>
      </c>
      <c r="AU15" s="147" t="inlineStr">
        <is>
          <t>Коммерция</t>
        </is>
      </c>
      <c r="AV15" s="146" t="inlineStr">
        <is>
          <t>№ 6</t>
        </is>
      </c>
      <c r="AW15" s="147" t="inlineStr">
        <is>
          <t>Коммерция</t>
        </is>
      </c>
      <c r="AX15" s="146" t="inlineStr">
        <is>
          <t>№ 6</t>
        </is>
      </c>
      <c r="AY15" s="147" t="inlineStr">
        <is>
          <t>Коммерция</t>
        </is>
      </c>
      <c r="AZ15" s="146" t="inlineStr">
        <is>
          <t>№ 7</t>
        </is>
      </c>
      <c r="BA15" s="147" t="inlineStr">
        <is>
          <t>Коммерция</t>
        </is>
      </c>
      <c r="BB15" s="94" t="n"/>
      <c r="BC15" s="94" t="n"/>
      <c r="BD15" s="94" t="n"/>
    </row>
    <row r="16" ht="15.75" customHeight="1" s="163">
      <c r="A16" s="94" t="n"/>
      <c r="B16" s="148" t="inlineStr">
        <is>
          <t>ЦЕНА:</t>
        </is>
      </c>
      <c r="C16" s="149" t="inlineStr">
        <is>
          <t>ПРОДАНО</t>
        </is>
      </c>
      <c r="D16" s="148" t="inlineStr">
        <is>
          <t>ЦЕНА:</t>
        </is>
      </c>
      <c r="E16" s="149" t="inlineStr">
        <is>
          <t>ПРОДАНО</t>
        </is>
      </c>
      <c r="F16" s="148" t="inlineStr">
        <is>
          <t>ЦЕНА:</t>
        </is>
      </c>
      <c r="G16" s="149" t="inlineStr">
        <is>
          <t>ПРОДАНО</t>
        </is>
      </c>
      <c r="H16" s="148" t="inlineStr">
        <is>
          <t>ЦЕНА:</t>
        </is>
      </c>
      <c r="I16" s="149" t="inlineStr">
        <is>
          <t>ПРОДАНО</t>
        </is>
      </c>
      <c r="J16" s="148" t="inlineStr">
        <is>
          <t>ЦЕНА:</t>
        </is>
      </c>
      <c r="K16" s="149" t="inlineStr">
        <is>
          <t>ПРОДАНО</t>
        </is>
      </c>
      <c r="L16" s="148" t="inlineStr">
        <is>
          <t>ЦЕНА:</t>
        </is>
      </c>
      <c r="M16" s="149" t="inlineStr">
        <is>
          <t>ПРОДАНО</t>
        </is>
      </c>
      <c r="N16" s="148" t="inlineStr">
        <is>
          <t>ЦЕНА:</t>
        </is>
      </c>
      <c r="O16" s="149" t="inlineStr">
        <is>
          <t>ПРОДАНО</t>
        </is>
      </c>
      <c r="P16" s="148" t="inlineStr">
        <is>
          <t>ЦЕНА:</t>
        </is>
      </c>
      <c r="Q16" s="149" t="inlineStr">
        <is>
          <t>ПРОДАНО</t>
        </is>
      </c>
      <c r="R16" s="94" t="n"/>
      <c r="S16" s="94" t="n"/>
      <c r="T16" s="148" t="inlineStr">
        <is>
          <t>ЦЕНА:</t>
        </is>
      </c>
      <c r="U16" s="149" t="inlineStr">
        <is>
          <t>ПРОДАНО</t>
        </is>
      </c>
      <c r="V16" s="148" t="inlineStr">
        <is>
          <t>ЦЕНА:</t>
        </is>
      </c>
      <c r="W16" s="149" t="inlineStr">
        <is>
          <t>ПРОДАНО</t>
        </is>
      </c>
      <c r="X16" s="148" t="inlineStr">
        <is>
          <t>ЦЕНА:</t>
        </is>
      </c>
      <c r="Y16" s="149" t="inlineStr">
        <is>
          <t>ПРОДАНО</t>
        </is>
      </c>
      <c r="Z16" s="148" t="inlineStr">
        <is>
          <t>ЦЕНА:</t>
        </is>
      </c>
      <c r="AA16" s="149" t="inlineStr">
        <is>
          <t>ПРОДАНО</t>
        </is>
      </c>
      <c r="AB16" s="148" t="inlineStr">
        <is>
          <t>ЦЕНА:</t>
        </is>
      </c>
      <c r="AC16" s="149" t="inlineStr">
        <is>
          <t>ПРОДАНО</t>
        </is>
      </c>
      <c r="AD16" s="148" t="inlineStr">
        <is>
          <t>ЦЕНА:</t>
        </is>
      </c>
      <c r="AE16" s="149" t="inlineStr">
        <is>
          <t>ПРОДАНО</t>
        </is>
      </c>
      <c r="AF16" s="148" t="inlineStr">
        <is>
          <t>ЦЕНА:</t>
        </is>
      </c>
      <c r="AG16" s="149" t="inlineStr">
        <is>
          <t>ПРОДАНО</t>
        </is>
      </c>
      <c r="AH16" s="148" t="inlineStr">
        <is>
          <t>ЦЕНА:</t>
        </is>
      </c>
      <c r="AI16" s="149" t="inlineStr">
        <is>
          <t>ПРОДАНО</t>
        </is>
      </c>
      <c r="AJ16" s="94" t="n"/>
      <c r="AK16" s="94" t="n"/>
      <c r="AL16" s="148" t="inlineStr">
        <is>
          <t>ЦЕНА:</t>
        </is>
      </c>
      <c r="AM16" s="149" t="inlineStr">
        <is>
          <t>ПРОДАНО</t>
        </is>
      </c>
      <c r="AN16" s="148" t="inlineStr">
        <is>
          <t>ЦЕНА:</t>
        </is>
      </c>
      <c r="AO16" s="149" t="inlineStr">
        <is>
          <t>ПРОДАНО</t>
        </is>
      </c>
      <c r="AP16" s="148" t="inlineStr">
        <is>
          <t>ЦЕНА:</t>
        </is>
      </c>
      <c r="AQ16" s="149" t="inlineStr">
        <is>
          <t>ПРОДАНО</t>
        </is>
      </c>
      <c r="AR16" s="148" t="inlineStr">
        <is>
          <t>ЦЕНА:</t>
        </is>
      </c>
      <c r="AS16" s="149" t="inlineStr">
        <is>
          <t>ПРОДАНО</t>
        </is>
      </c>
      <c r="AT16" s="148" t="inlineStr">
        <is>
          <t>ЦЕНА:</t>
        </is>
      </c>
      <c r="AU16" s="149" t="inlineStr">
        <is>
          <t>ПРОДАНО</t>
        </is>
      </c>
      <c r="AV16" s="148" t="inlineStr">
        <is>
          <t>ЦЕНА:</t>
        </is>
      </c>
      <c r="AW16" s="149" t="inlineStr">
        <is>
          <t>ПРОДАНО</t>
        </is>
      </c>
      <c r="AX16" s="148" t="inlineStr">
        <is>
          <t>ЦЕНА:</t>
        </is>
      </c>
      <c r="AY16" s="149" t="inlineStr">
        <is>
          <t>ПРОДАНО</t>
        </is>
      </c>
      <c r="AZ16" s="148" t="inlineStr">
        <is>
          <t>ЦЕНА:</t>
        </is>
      </c>
      <c r="BA16" s="149" t="inlineStr">
        <is>
          <t>ПРОДАНО</t>
        </is>
      </c>
      <c r="BB16" s="94" t="n"/>
      <c r="BC16" s="94" t="n"/>
      <c r="BD16" s="94" t="n"/>
    </row>
    <row r="17" ht="15.75" customHeight="1" s="163">
      <c r="A17" s="94" t="n"/>
      <c r="B17" s="150" t="inlineStr">
        <is>
          <t>ПЛОЩАДЬ:</t>
        </is>
      </c>
      <c r="C17" s="151" t="n">
        <v>63</v>
      </c>
      <c r="D17" s="150" t="inlineStr">
        <is>
          <t>ПЛОЩАДЬ:</t>
        </is>
      </c>
      <c r="E17" s="151" t="n">
        <v>64</v>
      </c>
      <c r="F17" s="150" t="inlineStr">
        <is>
          <t>ПЛОЩАДЬ:</t>
        </is>
      </c>
      <c r="G17" s="151" t="n">
        <v>64</v>
      </c>
      <c r="H17" s="150" t="inlineStr">
        <is>
          <t>ПЛОЩАДЬ:</t>
        </is>
      </c>
      <c r="I17" s="151" t="n">
        <v>64</v>
      </c>
      <c r="J17" s="150" t="inlineStr">
        <is>
          <t>ПЛОЩАДЬ:</t>
        </is>
      </c>
      <c r="K17" s="151" t="n">
        <v>65</v>
      </c>
      <c r="L17" s="150" t="inlineStr">
        <is>
          <t>ПЛОЩАДЬ:</t>
        </is>
      </c>
      <c r="M17" s="151" t="n">
        <v>65</v>
      </c>
      <c r="N17" s="150" t="inlineStr">
        <is>
          <t>ПЛОЩАДЬ:</t>
        </is>
      </c>
      <c r="O17" s="151" t="n">
        <v>65</v>
      </c>
      <c r="P17" s="150" t="inlineStr">
        <is>
          <t>ПЛОЩАДЬ:</t>
        </is>
      </c>
      <c r="Q17" s="151" t="n">
        <v>66</v>
      </c>
      <c r="R17" s="94" t="n"/>
      <c r="S17" s="94" t="n"/>
      <c r="T17" s="150" t="inlineStr">
        <is>
          <t>ПЛОЩАДЬ:</t>
        </is>
      </c>
      <c r="U17" s="151" t="n">
        <v>64</v>
      </c>
      <c r="V17" s="150" t="inlineStr">
        <is>
          <t>ПЛОЩАДЬ:</t>
        </is>
      </c>
      <c r="W17" s="151" t="n">
        <v>65</v>
      </c>
      <c r="X17" s="150" t="inlineStr">
        <is>
          <t>ПЛОЩАДЬ:</t>
        </is>
      </c>
      <c r="Y17" s="151" t="n">
        <v>65</v>
      </c>
      <c r="Z17" s="150" t="inlineStr">
        <is>
          <t>ПЛОЩАДЬ:</t>
        </is>
      </c>
      <c r="AA17" s="151" t="n">
        <v>65</v>
      </c>
      <c r="AB17" s="150" t="inlineStr">
        <is>
          <t>ПЛОЩАДЬ:</t>
        </is>
      </c>
      <c r="AC17" s="151" t="n">
        <v>66</v>
      </c>
      <c r="AD17" s="150" t="inlineStr">
        <is>
          <t>ПЛОЩАДЬ:</t>
        </is>
      </c>
      <c r="AE17" s="151" t="n">
        <v>66</v>
      </c>
      <c r="AF17" s="150" t="inlineStr">
        <is>
          <t>ПЛОЩАДЬ:</t>
        </is>
      </c>
      <c r="AG17" s="151" t="n">
        <v>66</v>
      </c>
      <c r="AH17" s="150" t="inlineStr">
        <is>
          <t>ПЛОЩАДЬ:</t>
        </is>
      </c>
      <c r="AI17" s="151" t="n">
        <v>67</v>
      </c>
      <c r="AJ17" s="94" t="n"/>
      <c r="AK17" s="94" t="n"/>
      <c r="AL17" s="150" t="inlineStr">
        <is>
          <t>ПЛОЩАДЬ:</t>
        </is>
      </c>
      <c r="AM17" s="151" t="n">
        <v>65</v>
      </c>
      <c r="AN17" s="150" t="inlineStr">
        <is>
          <t>ПЛОЩАДЬ:</t>
        </is>
      </c>
      <c r="AO17" s="151" t="n">
        <v>66</v>
      </c>
      <c r="AP17" s="150" t="inlineStr">
        <is>
          <t>ПЛОЩАДЬ:</t>
        </is>
      </c>
      <c r="AQ17" s="151" t="n">
        <v>66</v>
      </c>
      <c r="AR17" s="150" t="inlineStr">
        <is>
          <t>ПЛОЩАДЬ:</t>
        </is>
      </c>
      <c r="AS17" s="151" t="n">
        <v>66</v>
      </c>
      <c r="AT17" s="150" t="inlineStr">
        <is>
          <t>ПЛОЩАДЬ:</t>
        </is>
      </c>
      <c r="AU17" s="151" t="n">
        <v>67</v>
      </c>
      <c r="AV17" s="150" t="inlineStr">
        <is>
          <t>ПЛОЩАДЬ:</t>
        </is>
      </c>
      <c r="AW17" s="151" t="n">
        <v>67</v>
      </c>
      <c r="AX17" s="150" t="inlineStr">
        <is>
          <t>ПЛОЩАДЬ:</t>
        </is>
      </c>
      <c r="AY17" s="151" t="n">
        <v>67</v>
      </c>
      <c r="AZ17" s="150" t="inlineStr">
        <is>
          <t>ПЛОЩАДЬ:</t>
        </is>
      </c>
      <c r="BA17" s="151" t="n">
        <v>68</v>
      </c>
      <c r="BB17" s="94" t="n"/>
      <c r="BC17" s="94" t="n"/>
      <c r="BD17" s="94" t="n"/>
    </row>
    <row r="18" ht="15.75" customHeight="1" s="163">
      <c r="A18" s="94" t="n"/>
      <c r="B18" s="222" t="inlineStr">
        <is>
          <t>Цветочная</t>
        </is>
      </c>
      <c r="C18" s="223" t="n"/>
      <c r="D18" s="223" t="n"/>
      <c r="E18" s="223" t="n"/>
      <c r="F18" s="223" t="n"/>
      <c r="G18" s="223" t="n"/>
      <c r="H18" s="223" t="n"/>
      <c r="I18" s="223" t="n"/>
      <c r="J18" s="223" t="n"/>
      <c r="K18" s="223" t="n"/>
      <c r="L18" s="223" t="n"/>
      <c r="M18" s="223" t="n"/>
      <c r="N18" s="223" t="n"/>
      <c r="O18" s="223" t="n"/>
      <c r="P18" s="223" t="n"/>
      <c r="Q18" s="182" t="n"/>
      <c r="R18" s="94" t="n"/>
      <c r="S18" s="94" t="n"/>
      <c r="T18" s="222" t="inlineStr">
        <is>
          <t>Цветочная</t>
        </is>
      </c>
      <c r="U18" s="223" t="n"/>
      <c r="V18" s="223" t="n"/>
      <c r="W18" s="223" t="n"/>
      <c r="X18" s="223" t="n"/>
      <c r="Y18" s="223" t="n"/>
      <c r="Z18" s="223" t="n"/>
      <c r="AA18" s="223" t="n"/>
      <c r="AB18" s="223" t="n"/>
      <c r="AC18" s="223" t="n"/>
      <c r="AD18" s="223" t="n"/>
      <c r="AE18" s="223" t="n"/>
      <c r="AF18" s="223" t="n"/>
      <c r="AG18" s="223" t="n"/>
      <c r="AH18" s="223" t="n"/>
      <c r="AI18" s="182" t="n"/>
      <c r="AJ18" s="94" t="n"/>
      <c r="AK18" s="94" t="n"/>
      <c r="AL18" s="222" t="inlineStr">
        <is>
          <t>Цветочная</t>
        </is>
      </c>
      <c r="AM18" s="223" t="n"/>
      <c r="AN18" s="223" t="n"/>
      <c r="AO18" s="223" t="n"/>
      <c r="AP18" s="223" t="n"/>
      <c r="AQ18" s="223" t="n"/>
      <c r="AR18" s="223" t="n"/>
      <c r="AS18" s="223" t="n"/>
      <c r="AT18" s="223" t="n"/>
      <c r="AU18" s="223" t="n"/>
      <c r="AV18" s="223" t="n"/>
      <c r="AW18" s="223" t="n"/>
      <c r="AX18" s="223" t="n"/>
      <c r="AY18" s="223" t="n"/>
      <c r="AZ18" s="223" t="n"/>
      <c r="BA18" s="182" t="n"/>
      <c r="BB18" s="94" t="n"/>
      <c r="BC18" s="94" t="n"/>
      <c r="BD18" s="94" t="n"/>
    </row>
    <row r="19" ht="15.75" customHeight="1" s="163">
      <c r="A19" s="94" t="n"/>
      <c r="B19" s="186" t="n"/>
      <c r="C19" s="198" t="n"/>
      <c r="D19" s="198" t="n"/>
      <c r="E19" s="198" t="n"/>
      <c r="F19" s="198" t="n"/>
      <c r="G19" s="198" t="n"/>
      <c r="H19" s="198" t="n"/>
      <c r="I19" s="198" t="n"/>
      <c r="J19" s="198" t="n"/>
      <c r="K19" s="198" t="n"/>
      <c r="L19" s="198" t="n"/>
      <c r="M19" s="198" t="n"/>
      <c r="N19" s="198" t="n"/>
      <c r="O19" s="198" t="n"/>
      <c r="P19" s="198" t="n"/>
      <c r="Q19" s="185" t="n"/>
      <c r="R19" s="94" t="n"/>
      <c r="S19" s="94" t="n"/>
      <c r="T19" s="186" t="n"/>
      <c r="U19" s="198" t="n"/>
      <c r="V19" s="198" t="n"/>
      <c r="W19" s="198" t="n"/>
      <c r="X19" s="198" t="n"/>
      <c r="Y19" s="198" t="n"/>
      <c r="Z19" s="198" t="n"/>
      <c r="AA19" s="198" t="n"/>
      <c r="AB19" s="198" t="n"/>
      <c r="AC19" s="198" t="n"/>
      <c r="AD19" s="198" t="n"/>
      <c r="AE19" s="198" t="n"/>
      <c r="AF19" s="198" t="n"/>
      <c r="AG19" s="198" t="n"/>
      <c r="AH19" s="198" t="n"/>
      <c r="AI19" s="185" t="n"/>
      <c r="AJ19" s="94" t="n"/>
      <c r="AK19" s="94" t="n"/>
      <c r="AL19" s="186" t="n"/>
      <c r="AM19" s="198" t="n"/>
      <c r="AN19" s="198" t="n"/>
      <c r="AO19" s="198" t="n"/>
      <c r="AP19" s="198" t="n"/>
      <c r="AQ19" s="198" t="n"/>
      <c r="AR19" s="198" t="n"/>
      <c r="AS19" s="198" t="n"/>
      <c r="AT19" s="198" t="n"/>
      <c r="AU19" s="198" t="n"/>
      <c r="AV19" s="198" t="n"/>
      <c r="AW19" s="198" t="n"/>
      <c r="AX19" s="198" t="n"/>
      <c r="AY19" s="198" t="n"/>
      <c r="AZ19" s="198" t="n"/>
      <c r="BA19" s="185" t="n"/>
      <c r="BB19" s="94" t="n"/>
      <c r="BC19" s="94" t="n"/>
      <c r="BD19" s="94" t="n"/>
    </row>
    <row r="20" ht="15.75" customHeight="1" s="163">
      <c r="A20" s="94" t="n"/>
      <c r="B20" s="146" t="inlineStr">
        <is>
          <t>№ 2</t>
        </is>
      </c>
      <c r="C20" s="147" t="inlineStr">
        <is>
          <t>Коммерция</t>
        </is>
      </c>
      <c r="D20" s="146" t="inlineStr">
        <is>
          <t>№ 3</t>
        </is>
      </c>
      <c r="E20" s="147" t="inlineStr">
        <is>
          <t>Коммерция</t>
        </is>
      </c>
      <c r="F20" s="146" t="inlineStr">
        <is>
          <t>№ 3</t>
        </is>
      </c>
      <c r="G20" s="147" t="inlineStr">
        <is>
          <t>Коммерция</t>
        </is>
      </c>
      <c r="H20" s="146" t="inlineStr">
        <is>
          <t>№ 3</t>
        </is>
      </c>
      <c r="I20" s="147" t="inlineStr">
        <is>
          <t>Коммерция</t>
        </is>
      </c>
      <c r="J20" s="146" t="inlineStr">
        <is>
          <t>№ 4</t>
        </is>
      </c>
      <c r="K20" s="147" t="inlineStr">
        <is>
          <t>Коммерция</t>
        </is>
      </c>
      <c r="L20" s="146" t="inlineStr">
        <is>
          <t>№ 4</t>
        </is>
      </c>
      <c r="M20" s="147" t="inlineStr">
        <is>
          <t>Коммерция</t>
        </is>
      </c>
      <c r="N20" s="146" t="inlineStr">
        <is>
          <t>№ 4</t>
        </is>
      </c>
      <c r="O20" s="147" t="inlineStr">
        <is>
          <t>Коммерция</t>
        </is>
      </c>
      <c r="P20" s="146" t="inlineStr">
        <is>
          <t>№ 5</t>
        </is>
      </c>
      <c r="Q20" s="147" t="inlineStr">
        <is>
          <t>Коммерция</t>
        </is>
      </c>
      <c r="R20" s="94" t="n"/>
      <c r="S20" s="94" t="n"/>
      <c r="T20" s="146" t="inlineStr">
        <is>
          <t>№ 3</t>
        </is>
      </c>
      <c r="U20" s="147" t="inlineStr">
        <is>
          <t>Коммерция</t>
        </is>
      </c>
      <c r="V20" s="146" t="inlineStr">
        <is>
          <t>№ 4</t>
        </is>
      </c>
      <c r="W20" s="147" t="inlineStr">
        <is>
          <t>Коммерция</t>
        </is>
      </c>
      <c r="X20" s="146" t="inlineStr">
        <is>
          <t>№ 4</t>
        </is>
      </c>
      <c r="Y20" s="147" t="inlineStr">
        <is>
          <t>Коммерция</t>
        </is>
      </c>
      <c r="Z20" s="146" t="inlineStr">
        <is>
          <t>№ 4</t>
        </is>
      </c>
      <c r="AA20" s="147" t="inlineStr">
        <is>
          <t>Коммерция</t>
        </is>
      </c>
      <c r="AB20" s="146" t="inlineStr">
        <is>
          <t>№ 5</t>
        </is>
      </c>
      <c r="AC20" s="147" t="inlineStr">
        <is>
          <t>Коммерция</t>
        </is>
      </c>
      <c r="AD20" s="146" t="inlineStr">
        <is>
          <t>№ 5</t>
        </is>
      </c>
      <c r="AE20" s="147" t="inlineStr">
        <is>
          <t>Коммерция</t>
        </is>
      </c>
      <c r="AF20" s="146" t="inlineStr">
        <is>
          <t>№ 5</t>
        </is>
      </c>
      <c r="AG20" s="147" t="inlineStr">
        <is>
          <t>Коммерция</t>
        </is>
      </c>
      <c r="AH20" s="146" t="inlineStr">
        <is>
          <t>№ 6</t>
        </is>
      </c>
      <c r="AI20" s="147" t="inlineStr">
        <is>
          <t>Коммерция</t>
        </is>
      </c>
      <c r="AJ20" s="94" t="n"/>
      <c r="AK20" s="94" t="n"/>
      <c r="AL20" s="146" t="inlineStr">
        <is>
          <t>№ 4</t>
        </is>
      </c>
      <c r="AM20" s="147" t="inlineStr">
        <is>
          <t>Коммерция</t>
        </is>
      </c>
      <c r="AN20" s="146" t="inlineStr">
        <is>
          <t>№ 5</t>
        </is>
      </c>
      <c r="AO20" s="147" t="inlineStr">
        <is>
          <t>Коммерция</t>
        </is>
      </c>
      <c r="AP20" s="146" t="inlineStr">
        <is>
          <t>№ 5</t>
        </is>
      </c>
      <c r="AQ20" s="147" t="inlineStr">
        <is>
          <t>Коммерция</t>
        </is>
      </c>
      <c r="AR20" s="146" t="inlineStr">
        <is>
          <t>№ 5</t>
        </is>
      </c>
      <c r="AS20" s="147" t="inlineStr">
        <is>
          <t>Коммерция</t>
        </is>
      </c>
      <c r="AT20" s="146" t="inlineStr">
        <is>
          <t>№ 6</t>
        </is>
      </c>
      <c r="AU20" s="147" t="inlineStr">
        <is>
          <t>Коммерция</t>
        </is>
      </c>
      <c r="AV20" s="146" t="inlineStr">
        <is>
          <t>№ 6</t>
        </is>
      </c>
      <c r="AW20" s="147" t="inlineStr">
        <is>
          <t>Коммерция</t>
        </is>
      </c>
      <c r="AX20" s="146" t="inlineStr">
        <is>
          <t>№ 6</t>
        </is>
      </c>
      <c r="AY20" s="147" t="inlineStr">
        <is>
          <t>Коммерция</t>
        </is>
      </c>
      <c r="AZ20" s="146" t="inlineStr">
        <is>
          <t>№ 7</t>
        </is>
      </c>
      <c r="BA20" s="147" t="inlineStr">
        <is>
          <t>Коммерция</t>
        </is>
      </c>
      <c r="BB20" s="94" t="n"/>
      <c r="BC20" s="94" t="n"/>
      <c r="BD20" s="94" t="n"/>
    </row>
    <row r="21" ht="15.75" customHeight="1" s="163">
      <c r="A21" s="94" t="n"/>
      <c r="B21" s="148" t="inlineStr">
        <is>
          <t>ЦЕНА:</t>
        </is>
      </c>
      <c r="C21" s="149" t="inlineStr">
        <is>
          <t>ПРОДАНО</t>
        </is>
      </c>
      <c r="D21" s="148" t="inlineStr">
        <is>
          <t>ЦЕНА:</t>
        </is>
      </c>
      <c r="E21" s="149" t="inlineStr">
        <is>
          <t>ПРОДАНО</t>
        </is>
      </c>
      <c r="F21" s="148" t="inlineStr">
        <is>
          <t>ЦЕНА:</t>
        </is>
      </c>
      <c r="G21" s="149" t="inlineStr">
        <is>
          <t>ПРОДАНО</t>
        </is>
      </c>
      <c r="H21" s="148" t="inlineStr">
        <is>
          <t>ЦЕНА:</t>
        </is>
      </c>
      <c r="I21" s="149" t="inlineStr">
        <is>
          <t>ПРОДАНО</t>
        </is>
      </c>
      <c r="J21" s="148" t="inlineStr">
        <is>
          <t>ЦЕНА:</t>
        </is>
      </c>
      <c r="K21" s="149" t="inlineStr">
        <is>
          <t>ПРОДАНО</t>
        </is>
      </c>
      <c r="L21" s="148" t="inlineStr">
        <is>
          <t>ЦЕНА:</t>
        </is>
      </c>
      <c r="M21" s="149" t="inlineStr">
        <is>
          <t>ПРОДАНО</t>
        </is>
      </c>
      <c r="N21" s="148" t="inlineStr">
        <is>
          <t>ЦЕНА:</t>
        </is>
      </c>
      <c r="O21" s="149" t="inlineStr">
        <is>
          <t>ПРОДАНО</t>
        </is>
      </c>
      <c r="P21" s="148" t="inlineStr">
        <is>
          <t>ЦЕНА:</t>
        </is>
      </c>
      <c r="Q21" s="149" t="inlineStr">
        <is>
          <t>ПРОДАНО</t>
        </is>
      </c>
      <c r="R21" s="94" t="n"/>
      <c r="S21" s="94" t="n"/>
      <c r="T21" s="148" t="inlineStr">
        <is>
          <t>ЦЕНА:</t>
        </is>
      </c>
      <c r="U21" s="149" t="inlineStr">
        <is>
          <t>ПРОДАНО</t>
        </is>
      </c>
      <c r="V21" s="148" t="inlineStr">
        <is>
          <t>ЦЕНА:</t>
        </is>
      </c>
      <c r="W21" s="149" t="inlineStr">
        <is>
          <t>ПРОДАНО</t>
        </is>
      </c>
      <c r="X21" s="148" t="inlineStr">
        <is>
          <t>ЦЕНА:</t>
        </is>
      </c>
      <c r="Y21" s="149" t="inlineStr">
        <is>
          <t>ПРОДАНО</t>
        </is>
      </c>
      <c r="Z21" s="148" t="inlineStr">
        <is>
          <t>ЦЕНА:</t>
        </is>
      </c>
      <c r="AA21" s="149" t="inlineStr">
        <is>
          <t>ПРОДАНО</t>
        </is>
      </c>
      <c r="AB21" s="148" t="inlineStr">
        <is>
          <t>ЦЕНА:</t>
        </is>
      </c>
      <c r="AC21" s="149" t="inlineStr">
        <is>
          <t>ПРОДАНО</t>
        </is>
      </c>
      <c r="AD21" s="148" t="inlineStr">
        <is>
          <t>ЦЕНА:</t>
        </is>
      </c>
      <c r="AE21" s="149" t="inlineStr">
        <is>
          <t>ПРОДАНО</t>
        </is>
      </c>
      <c r="AF21" s="148" t="inlineStr">
        <is>
          <t>ЦЕНА:</t>
        </is>
      </c>
      <c r="AG21" s="149" t="inlineStr">
        <is>
          <t>ПРОДАНО</t>
        </is>
      </c>
      <c r="AH21" s="148" t="inlineStr">
        <is>
          <t>ЦЕНА:</t>
        </is>
      </c>
      <c r="AI21" s="149" t="inlineStr">
        <is>
          <t>ПРОДАНО</t>
        </is>
      </c>
      <c r="AJ21" s="94" t="n"/>
      <c r="AK21" s="94" t="n"/>
      <c r="AL21" s="148" t="inlineStr">
        <is>
          <t>ЦЕНА:</t>
        </is>
      </c>
      <c r="AM21" s="149" t="inlineStr">
        <is>
          <t>ПРОДАНО</t>
        </is>
      </c>
      <c r="AN21" s="148" t="inlineStr">
        <is>
          <t>ЦЕНА:</t>
        </is>
      </c>
      <c r="AO21" s="149" t="inlineStr">
        <is>
          <t>ПРОДАНО</t>
        </is>
      </c>
      <c r="AP21" s="148" t="inlineStr">
        <is>
          <t>ЦЕНА:</t>
        </is>
      </c>
      <c r="AQ21" s="149" t="inlineStr">
        <is>
          <t>ПРОДАНО</t>
        </is>
      </c>
      <c r="AR21" s="148" t="inlineStr">
        <is>
          <t>ЦЕНА:</t>
        </is>
      </c>
      <c r="AS21" s="149" t="inlineStr">
        <is>
          <t>ПРОДАНО</t>
        </is>
      </c>
      <c r="AT21" s="148" t="inlineStr">
        <is>
          <t>ЦЕНА:</t>
        </is>
      </c>
      <c r="AU21" s="149" t="inlineStr">
        <is>
          <t>ПРОДАНО</t>
        </is>
      </c>
      <c r="AV21" s="148" t="inlineStr">
        <is>
          <t>ЦЕНА:</t>
        </is>
      </c>
      <c r="AW21" s="149" t="inlineStr">
        <is>
          <t>ПРОДАНО</t>
        </is>
      </c>
      <c r="AX21" s="148" t="inlineStr">
        <is>
          <t>ЦЕНА:</t>
        </is>
      </c>
      <c r="AY21" s="149" t="inlineStr">
        <is>
          <t>ПРОДАНО</t>
        </is>
      </c>
      <c r="AZ21" s="148" t="inlineStr">
        <is>
          <t>ЦЕНА:</t>
        </is>
      </c>
      <c r="BA21" s="149" t="inlineStr">
        <is>
          <t>ПРОДАНО</t>
        </is>
      </c>
      <c r="BB21" s="94" t="n"/>
      <c r="BC21" s="94" t="n"/>
      <c r="BD21" s="94" t="n"/>
    </row>
    <row r="22" ht="15.75" customHeight="1" s="163">
      <c r="A22" s="94" t="n"/>
      <c r="B22" s="150" t="inlineStr">
        <is>
          <t>ПЛОЩАДЬ:</t>
        </is>
      </c>
      <c r="C22" s="151" t="n">
        <v>63</v>
      </c>
      <c r="D22" s="150" t="inlineStr">
        <is>
          <t>ПЛОЩАДЬ:</t>
        </is>
      </c>
      <c r="E22" s="151" t="n">
        <v>64</v>
      </c>
      <c r="F22" s="150" t="inlineStr">
        <is>
          <t>ПЛОЩАДЬ:</t>
        </is>
      </c>
      <c r="G22" s="151" t="n">
        <v>64</v>
      </c>
      <c r="H22" s="150" t="inlineStr">
        <is>
          <t>ПЛОЩАДЬ:</t>
        </is>
      </c>
      <c r="I22" s="151" t="n">
        <v>64</v>
      </c>
      <c r="J22" s="150" t="inlineStr">
        <is>
          <t>ПЛОЩАДЬ:</t>
        </is>
      </c>
      <c r="K22" s="151" t="n">
        <v>65</v>
      </c>
      <c r="L22" s="150" t="inlineStr">
        <is>
          <t>ПЛОЩАДЬ:</t>
        </is>
      </c>
      <c r="M22" s="151" t="n">
        <v>65</v>
      </c>
      <c r="N22" s="150" t="inlineStr">
        <is>
          <t>ПЛОЩАДЬ:</t>
        </is>
      </c>
      <c r="O22" s="151" t="n">
        <v>65</v>
      </c>
      <c r="P22" s="150" t="inlineStr">
        <is>
          <t>ПЛОЩАДЬ:</t>
        </is>
      </c>
      <c r="Q22" s="151" t="n">
        <v>66</v>
      </c>
      <c r="R22" s="94" t="n"/>
      <c r="S22" s="94" t="n"/>
      <c r="T22" s="150" t="inlineStr">
        <is>
          <t>ПЛОЩАДЬ:</t>
        </is>
      </c>
      <c r="U22" s="151" t="n">
        <v>64</v>
      </c>
      <c r="V22" s="150" t="inlineStr">
        <is>
          <t>ПЛОЩАДЬ:</t>
        </is>
      </c>
      <c r="W22" s="151" t="n">
        <v>65</v>
      </c>
      <c r="X22" s="150" t="inlineStr">
        <is>
          <t>ПЛОЩАДЬ:</t>
        </is>
      </c>
      <c r="Y22" s="151" t="n">
        <v>65</v>
      </c>
      <c r="Z22" s="150" t="inlineStr">
        <is>
          <t>ПЛОЩАДЬ:</t>
        </is>
      </c>
      <c r="AA22" s="151" t="n">
        <v>65</v>
      </c>
      <c r="AB22" s="150" t="inlineStr">
        <is>
          <t>ПЛОЩАДЬ:</t>
        </is>
      </c>
      <c r="AC22" s="151" t="n">
        <v>66</v>
      </c>
      <c r="AD22" s="150" t="inlineStr">
        <is>
          <t>ПЛОЩАДЬ:</t>
        </is>
      </c>
      <c r="AE22" s="151" t="n">
        <v>66</v>
      </c>
      <c r="AF22" s="150" t="inlineStr">
        <is>
          <t>ПЛОЩАДЬ:</t>
        </is>
      </c>
      <c r="AG22" s="151" t="n">
        <v>66</v>
      </c>
      <c r="AH22" s="150" t="inlineStr">
        <is>
          <t>ПЛОЩАДЬ:</t>
        </is>
      </c>
      <c r="AI22" s="151" t="n">
        <v>67</v>
      </c>
      <c r="AJ22" s="94" t="n"/>
      <c r="AK22" s="94" t="n"/>
      <c r="AL22" s="150" t="inlineStr">
        <is>
          <t>ПЛОЩАДЬ:</t>
        </is>
      </c>
      <c r="AM22" s="151" t="n">
        <v>65</v>
      </c>
      <c r="AN22" s="150" t="inlineStr">
        <is>
          <t>ПЛОЩАДЬ:</t>
        </is>
      </c>
      <c r="AO22" s="151" t="n">
        <v>66</v>
      </c>
      <c r="AP22" s="150" t="inlineStr">
        <is>
          <t>ПЛОЩАДЬ:</t>
        </is>
      </c>
      <c r="AQ22" s="151" t="n">
        <v>66</v>
      </c>
      <c r="AR22" s="150" t="inlineStr">
        <is>
          <t>ПЛОЩАДЬ:</t>
        </is>
      </c>
      <c r="AS22" s="151" t="n">
        <v>66</v>
      </c>
      <c r="AT22" s="150" t="inlineStr">
        <is>
          <t>ПЛОЩАДЬ:</t>
        </is>
      </c>
      <c r="AU22" s="151" t="n">
        <v>67</v>
      </c>
      <c r="AV22" s="150" t="inlineStr">
        <is>
          <t>ПЛОЩАДЬ:</t>
        </is>
      </c>
      <c r="AW22" s="151" t="n">
        <v>67</v>
      </c>
      <c r="AX22" s="150" t="inlineStr">
        <is>
          <t>ПЛОЩАДЬ:</t>
        </is>
      </c>
      <c r="AY22" s="151" t="n">
        <v>67</v>
      </c>
      <c r="AZ22" s="150" t="inlineStr">
        <is>
          <t>ПЛОЩАДЬ:</t>
        </is>
      </c>
      <c r="BA22" s="151" t="n">
        <v>68</v>
      </c>
      <c r="BB22" s="94" t="n"/>
      <c r="BC22" s="94" t="n"/>
      <c r="BD22" s="94" t="n"/>
    </row>
    <row r="23" ht="15.75" customHeight="1" s="163">
      <c r="A23" s="94" t="n"/>
      <c r="B23" s="146" t="inlineStr">
        <is>
          <t>№ 3</t>
        </is>
      </c>
      <c r="C23" s="147" t="inlineStr">
        <is>
          <t>Коммерция</t>
        </is>
      </c>
      <c r="D23" s="146" t="inlineStr">
        <is>
          <t>№ 4</t>
        </is>
      </c>
      <c r="E23" s="147" t="inlineStr">
        <is>
          <t>Коммерция</t>
        </is>
      </c>
      <c r="F23" s="146" t="inlineStr">
        <is>
          <t>№ 4</t>
        </is>
      </c>
      <c r="G23" s="147" t="inlineStr">
        <is>
          <t>Коммерция</t>
        </is>
      </c>
      <c r="H23" s="146" t="inlineStr">
        <is>
          <t>№ 4</t>
        </is>
      </c>
      <c r="I23" s="147" t="inlineStr">
        <is>
          <t>Коммерция</t>
        </is>
      </c>
      <c r="J23" s="146" t="inlineStr">
        <is>
          <t>№ 5</t>
        </is>
      </c>
      <c r="K23" s="147" t="inlineStr">
        <is>
          <t>Коммерция</t>
        </is>
      </c>
      <c r="L23" s="146" t="inlineStr">
        <is>
          <t>№ 5</t>
        </is>
      </c>
      <c r="M23" s="147" t="inlineStr">
        <is>
          <t>Коммерция</t>
        </is>
      </c>
      <c r="N23" s="146" t="inlineStr">
        <is>
          <t>№ 5</t>
        </is>
      </c>
      <c r="O23" s="147" t="inlineStr">
        <is>
          <t>Коммерция</t>
        </is>
      </c>
      <c r="P23" s="146" t="inlineStr">
        <is>
          <t>№ 6</t>
        </is>
      </c>
      <c r="Q23" s="147" t="inlineStr">
        <is>
          <t>Коммерция</t>
        </is>
      </c>
      <c r="R23" s="94" t="n"/>
      <c r="S23" s="94" t="n"/>
      <c r="T23" s="146" t="inlineStr">
        <is>
          <t>№ 4</t>
        </is>
      </c>
      <c r="U23" s="147" t="inlineStr">
        <is>
          <t>Коммерция</t>
        </is>
      </c>
      <c r="V23" s="146" t="inlineStr">
        <is>
          <t>№ 5</t>
        </is>
      </c>
      <c r="W23" s="147" t="inlineStr">
        <is>
          <t>Коммерция</t>
        </is>
      </c>
      <c r="X23" s="146" t="inlineStr">
        <is>
          <t>№ 5</t>
        </is>
      </c>
      <c r="Y23" s="147" t="inlineStr">
        <is>
          <t>Коммерция</t>
        </is>
      </c>
      <c r="Z23" s="146" t="inlineStr">
        <is>
          <t>№ 5</t>
        </is>
      </c>
      <c r="AA23" s="147" t="inlineStr">
        <is>
          <t>Коммерция</t>
        </is>
      </c>
      <c r="AB23" s="146" t="inlineStr">
        <is>
          <t>№ 6</t>
        </is>
      </c>
      <c r="AC23" s="147" t="inlineStr">
        <is>
          <t>Коммерция</t>
        </is>
      </c>
      <c r="AD23" s="146" t="inlineStr">
        <is>
          <t>№ 6</t>
        </is>
      </c>
      <c r="AE23" s="147" t="inlineStr">
        <is>
          <t>Коммерция</t>
        </is>
      </c>
      <c r="AF23" s="146" t="inlineStr">
        <is>
          <t>№ 6</t>
        </is>
      </c>
      <c r="AG23" s="147" t="inlineStr">
        <is>
          <t>Коммерция</t>
        </is>
      </c>
      <c r="AH23" s="146" t="inlineStr">
        <is>
          <t>№ 7</t>
        </is>
      </c>
      <c r="AI23" s="147" t="inlineStr">
        <is>
          <t>Коммерция</t>
        </is>
      </c>
      <c r="AJ23" s="94" t="n"/>
      <c r="AK23" s="94" t="n"/>
      <c r="AL23" s="146" t="inlineStr">
        <is>
          <t>№ 5</t>
        </is>
      </c>
      <c r="AM23" s="147" t="inlineStr">
        <is>
          <t>Коммерция</t>
        </is>
      </c>
      <c r="AN23" s="146" t="inlineStr">
        <is>
          <t>№ 6</t>
        </is>
      </c>
      <c r="AO23" s="147" t="inlineStr">
        <is>
          <t>Коммерция</t>
        </is>
      </c>
      <c r="AP23" s="146" t="inlineStr">
        <is>
          <t>№ 6</t>
        </is>
      </c>
      <c r="AQ23" s="147" t="inlineStr">
        <is>
          <t>Коммерция</t>
        </is>
      </c>
      <c r="AR23" s="146" t="inlineStr">
        <is>
          <t>№ 6</t>
        </is>
      </c>
      <c r="AS23" s="147" t="inlineStr">
        <is>
          <t>Коммерция</t>
        </is>
      </c>
      <c r="AT23" s="146" t="inlineStr">
        <is>
          <t>№ 7</t>
        </is>
      </c>
      <c r="AU23" s="147" t="inlineStr">
        <is>
          <t>Коммерция</t>
        </is>
      </c>
      <c r="AV23" s="146" t="inlineStr">
        <is>
          <t>№ 7</t>
        </is>
      </c>
      <c r="AW23" s="147" t="inlineStr">
        <is>
          <t>Коммерция</t>
        </is>
      </c>
      <c r="AX23" s="146" t="inlineStr">
        <is>
          <t>№ 7</t>
        </is>
      </c>
      <c r="AY23" s="147" t="inlineStr">
        <is>
          <t>Коммерция</t>
        </is>
      </c>
      <c r="AZ23" s="146" t="inlineStr">
        <is>
          <t>№ 8</t>
        </is>
      </c>
      <c r="BA23" s="147" t="inlineStr">
        <is>
          <t>Коммерция</t>
        </is>
      </c>
      <c r="BB23" s="94" t="n"/>
      <c r="BC23" s="94" t="n"/>
      <c r="BD23" s="94" t="n"/>
    </row>
    <row r="24" ht="15.75" customHeight="1" s="163">
      <c r="A24" s="94" t="n"/>
      <c r="B24" s="148" t="inlineStr">
        <is>
          <t>ЦЕНА:</t>
        </is>
      </c>
      <c r="C24" s="149" t="inlineStr">
        <is>
          <t>ПРОДАНО</t>
        </is>
      </c>
      <c r="D24" s="148" t="inlineStr">
        <is>
          <t>ЦЕНА:</t>
        </is>
      </c>
      <c r="E24" s="149" t="inlineStr">
        <is>
          <t>ПРОДАНО</t>
        </is>
      </c>
      <c r="F24" s="148" t="inlineStr">
        <is>
          <t>ЦЕНА:</t>
        </is>
      </c>
      <c r="G24" s="149" t="inlineStr">
        <is>
          <t>ПРОДАНО</t>
        </is>
      </c>
      <c r="H24" s="148" t="inlineStr">
        <is>
          <t>ЦЕНА:</t>
        </is>
      </c>
      <c r="I24" s="149" t="inlineStr">
        <is>
          <t>ПРОДАНО</t>
        </is>
      </c>
      <c r="J24" s="148" t="inlineStr">
        <is>
          <t>ЦЕНА:</t>
        </is>
      </c>
      <c r="K24" s="149" t="inlineStr">
        <is>
          <t>ПРОДАНО</t>
        </is>
      </c>
      <c r="L24" s="148" t="inlineStr">
        <is>
          <t>ЦЕНА:</t>
        </is>
      </c>
      <c r="M24" s="149" t="inlineStr">
        <is>
          <t>ПРОДАНО</t>
        </is>
      </c>
      <c r="N24" s="148" t="inlineStr">
        <is>
          <t>ЦЕНА:</t>
        </is>
      </c>
      <c r="O24" s="149" t="inlineStr">
        <is>
          <t>ПРОДАНО</t>
        </is>
      </c>
      <c r="P24" s="148" t="inlineStr">
        <is>
          <t>ЦЕНА:</t>
        </is>
      </c>
      <c r="Q24" s="149" t="inlineStr">
        <is>
          <t>ПРОДАНО</t>
        </is>
      </c>
      <c r="R24" s="94" t="n"/>
      <c r="S24" s="94" t="n"/>
      <c r="T24" s="148" t="inlineStr">
        <is>
          <t>ЦЕНА:</t>
        </is>
      </c>
      <c r="U24" s="149" t="inlineStr">
        <is>
          <t>ПРОДАНО</t>
        </is>
      </c>
      <c r="V24" s="148" t="inlineStr">
        <is>
          <t>ЦЕНА:</t>
        </is>
      </c>
      <c r="W24" s="149" t="inlineStr">
        <is>
          <t>ПРОДАНО</t>
        </is>
      </c>
      <c r="X24" s="148" t="inlineStr">
        <is>
          <t>ЦЕНА:</t>
        </is>
      </c>
      <c r="Y24" s="149" t="inlineStr">
        <is>
          <t>ПРОДАНО</t>
        </is>
      </c>
      <c r="Z24" s="148" t="inlineStr">
        <is>
          <t>ЦЕНА:</t>
        </is>
      </c>
      <c r="AA24" s="149" t="inlineStr">
        <is>
          <t>ПРОДАНО</t>
        </is>
      </c>
      <c r="AB24" s="148" t="inlineStr">
        <is>
          <t>ЦЕНА:</t>
        </is>
      </c>
      <c r="AC24" s="149" t="inlineStr">
        <is>
          <t>ПРОДАНО</t>
        </is>
      </c>
      <c r="AD24" s="148" t="inlineStr">
        <is>
          <t>ЦЕНА:</t>
        </is>
      </c>
      <c r="AE24" s="149" t="inlineStr">
        <is>
          <t>ПРОДАНО</t>
        </is>
      </c>
      <c r="AF24" s="148" t="inlineStr">
        <is>
          <t>ЦЕНА:</t>
        </is>
      </c>
      <c r="AG24" s="149" t="inlineStr">
        <is>
          <t>ПРОДАНО</t>
        </is>
      </c>
      <c r="AH24" s="148" t="inlineStr">
        <is>
          <t>ЦЕНА:</t>
        </is>
      </c>
      <c r="AI24" s="149" t="inlineStr">
        <is>
          <t>ПРОДАНО</t>
        </is>
      </c>
      <c r="AJ24" s="94" t="n"/>
      <c r="AK24" s="94" t="n"/>
      <c r="AL24" s="148" t="inlineStr">
        <is>
          <t>ЦЕНА:</t>
        </is>
      </c>
      <c r="AM24" s="149" t="inlineStr">
        <is>
          <t>ПРОДАНО</t>
        </is>
      </c>
      <c r="AN24" s="148" t="inlineStr">
        <is>
          <t>ЦЕНА:</t>
        </is>
      </c>
      <c r="AO24" s="149" t="inlineStr">
        <is>
          <t>ПРОДАНО</t>
        </is>
      </c>
      <c r="AP24" s="148" t="inlineStr">
        <is>
          <t>ЦЕНА:</t>
        </is>
      </c>
      <c r="AQ24" s="149" t="inlineStr">
        <is>
          <t>ПРОДАНО</t>
        </is>
      </c>
      <c r="AR24" s="148" t="inlineStr">
        <is>
          <t>ЦЕНА:</t>
        </is>
      </c>
      <c r="AS24" s="149" t="inlineStr">
        <is>
          <t>ПРОДАНО</t>
        </is>
      </c>
      <c r="AT24" s="148" t="inlineStr">
        <is>
          <t>ЦЕНА:</t>
        </is>
      </c>
      <c r="AU24" s="149" t="inlineStr">
        <is>
          <t>ПРОДАНО</t>
        </is>
      </c>
      <c r="AV24" s="148" t="inlineStr">
        <is>
          <t>ЦЕНА:</t>
        </is>
      </c>
      <c r="AW24" s="149" t="inlineStr">
        <is>
          <t>ПРОДАНО</t>
        </is>
      </c>
      <c r="AX24" s="148" t="inlineStr">
        <is>
          <t>ЦЕНА:</t>
        </is>
      </c>
      <c r="AY24" s="149" t="inlineStr">
        <is>
          <t>ПРОДАНО</t>
        </is>
      </c>
      <c r="AZ24" s="148" t="inlineStr">
        <is>
          <t>ЦЕНА:</t>
        </is>
      </c>
      <c r="BA24" s="149" t="inlineStr">
        <is>
          <t>ПРОДАНО</t>
        </is>
      </c>
      <c r="BB24" s="94" t="n"/>
      <c r="BC24" s="94" t="n"/>
      <c r="BD24" s="94" t="n"/>
    </row>
    <row r="25" ht="15.75" customHeight="1" s="163">
      <c r="A25" s="94" t="n"/>
      <c r="B25" s="150" t="inlineStr">
        <is>
          <t>ПЛОЩАДЬ:</t>
        </is>
      </c>
      <c r="C25" s="151" t="n">
        <v>64</v>
      </c>
      <c r="D25" s="150" t="inlineStr">
        <is>
          <t>ПЛОЩАДЬ:</t>
        </is>
      </c>
      <c r="E25" s="151" t="n">
        <v>65</v>
      </c>
      <c r="F25" s="150" t="inlineStr">
        <is>
          <t>ПЛОЩАДЬ:</t>
        </is>
      </c>
      <c r="G25" s="151" t="n">
        <v>65</v>
      </c>
      <c r="H25" s="150" t="inlineStr">
        <is>
          <t>ПЛОЩАДЬ:</t>
        </is>
      </c>
      <c r="I25" s="151" t="n">
        <v>65</v>
      </c>
      <c r="J25" s="150" t="inlineStr">
        <is>
          <t>ПЛОЩАДЬ:</t>
        </is>
      </c>
      <c r="K25" s="151" t="n">
        <v>66</v>
      </c>
      <c r="L25" s="150" t="inlineStr">
        <is>
          <t>ПЛОЩАДЬ:</t>
        </is>
      </c>
      <c r="M25" s="151" t="n">
        <v>66</v>
      </c>
      <c r="N25" s="150" t="inlineStr">
        <is>
          <t>ПЛОЩАДЬ:</t>
        </is>
      </c>
      <c r="O25" s="151" t="n">
        <v>66</v>
      </c>
      <c r="P25" s="150" t="inlineStr">
        <is>
          <t>ПЛОЩАДЬ:</t>
        </is>
      </c>
      <c r="Q25" s="151" t="n">
        <v>67</v>
      </c>
      <c r="R25" s="62" t="n"/>
      <c r="S25" s="62" t="n"/>
      <c r="T25" s="150" t="inlineStr">
        <is>
          <t>ПЛОЩАДЬ:</t>
        </is>
      </c>
      <c r="U25" s="151" t="n">
        <v>65</v>
      </c>
      <c r="V25" s="150" t="inlineStr">
        <is>
          <t>ПЛОЩАДЬ:</t>
        </is>
      </c>
      <c r="W25" s="151" t="n">
        <v>66</v>
      </c>
      <c r="X25" s="150" t="inlineStr">
        <is>
          <t>ПЛОЩАДЬ:</t>
        </is>
      </c>
      <c r="Y25" s="151" t="n">
        <v>66</v>
      </c>
      <c r="Z25" s="150" t="inlineStr">
        <is>
          <t>ПЛОЩАДЬ:</t>
        </is>
      </c>
      <c r="AA25" s="151" t="n">
        <v>66</v>
      </c>
      <c r="AB25" s="150" t="inlineStr">
        <is>
          <t>ПЛОЩАДЬ:</t>
        </is>
      </c>
      <c r="AC25" s="151" t="n">
        <v>67</v>
      </c>
      <c r="AD25" s="150" t="inlineStr">
        <is>
          <t>ПЛОЩАДЬ:</t>
        </is>
      </c>
      <c r="AE25" s="151" t="n">
        <v>67</v>
      </c>
      <c r="AF25" s="150" t="inlineStr">
        <is>
          <t>ПЛОЩАДЬ:</t>
        </is>
      </c>
      <c r="AG25" s="151" t="n">
        <v>67</v>
      </c>
      <c r="AH25" s="150" t="inlineStr">
        <is>
          <t>ПЛОЩАДЬ:</t>
        </is>
      </c>
      <c r="AI25" s="151" t="n">
        <v>68</v>
      </c>
      <c r="AJ25" s="62" t="n"/>
      <c r="AK25" s="62" t="n"/>
      <c r="AL25" s="150" t="inlineStr">
        <is>
          <t>ПЛОЩАДЬ:</t>
        </is>
      </c>
      <c r="AM25" s="151" t="n">
        <v>66</v>
      </c>
      <c r="AN25" s="150" t="inlineStr">
        <is>
          <t>ПЛОЩАДЬ:</t>
        </is>
      </c>
      <c r="AO25" s="151" t="n">
        <v>67</v>
      </c>
      <c r="AP25" s="150" t="inlineStr">
        <is>
          <t>ПЛОЩАДЬ:</t>
        </is>
      </c>
      <c r="AQ25" s="151" t="n">
        <v>67</v>
      </c>
      <c r="AR25" s="150" t="inlineStr">
        <is>
          <t>ПЛОЩАДЬ:</t>
        </is>
      </c>
      <c r="AS25" s="151" t="n">
        <v>67</v>
      </c>
      <c r="AT25" s="150" t="inlineStr">
        <is>
          <t>ПЛОЩАДЬ:</t>
        </is>
      </c>
      <c r="AU25" s="151" t="n">
        <v>68</v>
      </c>
      <c r="AV25" s="150" t="inlineStr">
        <is>
          <t>ПЛОЩАДЬ:</t>
        </is>
      </c>
      <c r="AW25" s="151" t="n">
        <v>68</v>
      </c>
      <c r="AX25" s="150" t="inlineStr">
        <is>
          <t>ПЛОЩАДЬ:</t>
        </is>
      </c>
      <c r="AY25" s="151" t="n">
        <v>68</v>
      </c>
      <c r="AZ25" s="150" t="inlineStr">
        <is>
          <t>ПЛОЩАДЬ:</t>
        </is>
      </c>
      <c r="BA25" s="151" t="n">
        <v>69</v>
      </c>
      <c r="BB25" s="62" t="n"/>
      <c r="BC25" s="62" t="n"/>
      <c r="BD25" s="94" t="n"/>
    </row>
    <row r="26" ht="15.75" customHeight="1" s="163">
      <c r="A26" s="94" t="n"/>
      <c r="B26" s="222" t="inlineStr">
        <is>
          <t>Корабельная</t>
        </is>
      </c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182" t="n"/>
      <c r="R26" s="224" t="inlineStr">
        <is>
          <t>Аллея с функциональными зонами и площадками</t>
        </is>
      </c>
      <c r="S26" s="182" t="n"/>
      <c r="T26" s="222" t="inlineStr">
        <is>
          <t>Корабельная</t>
        </is>
      </c>
      <c r="U26" s="223" t="n"/>
      <c r="V26" s="223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  <c r="AG26" s="223" t="n"/>
      <c r="AH26" s="223" t="n"/>
      <c r="AI26" s="182" t="n"/>
      <c r="AJ26" s="224" t="inlineStr">
        <is>
          <t>Аллея с функциональными зонами и площадками</t>
        </is>
      </c>
      <c r="AK26" s="182" t="n"/>
      <c r="AL26" s="222" t="inlineStr">
        <is>
          <t>Корабельная</t>
        </is>
      </c>
      <c r="AM26" s="223" t="n"/>
      <c r="AN26" s="223" t="n"/>
      <c r="AO26" s="223" t="n"/>
      <c r="AP26" s="223" t="n"/>
      <c r="AQ26" s="223" t="n"/>
      <c r="AR26" s="223" t="n"/>
      <c r="AS26" s="223" t="n"/>
      <c r="AT26" s="223" t="n"/>
      <c r="AU26" s="223" t="n"/>
      <c r="AV26" s="223" t="n"/>
      <c r="AW26" s="223" t="n"/>
      <c r="AX26" s="223" t="n"/>
      <c r="AY26" s="223" t="n"/>
      <c r="AZ26" s="223" t="n"/>
      <c r="BA26" s="182" t="n"/>
      <c r="BB26" s="224" t="inlineStr">
        <is>
          <t>Аллея с функциональными зонами и площадками</t>
        </is>
      </c>
      <c r="BC26" s="182" t="n"/>
      <c r="BD26" s="94" t="n"/>
    </row>
    <row r="27" ht="15.75" customHeight="1" s="163">
      <c r="A27" s="94" t="n"/>
      <c r="B27" s="186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85" t="n"/>
      <c r="R27" s="225" t="n"/>
      <c r="S27" s="193" t="n"/>
      <c r="T27" s="186" t="n"/>
      <c r="U27" s="198" t="n"/>
      <c r="V27" s="198" t="n"/>
      <c r="W27" s="198" t="n"/>
      <c r="X27" s="198" t="n"/>
      <c r="Y27" s="198" t="n"/>
      <c r="Z27" s="198" t="n"/>
      <c r="AA27" s="198" t="n"/>
      <c r="AB27" s="198" t="n"/>
      <c r="AC27" s="198" t="n"/>
      <c r="AD27" s="198" t="n"/>
      <c r="AE27" s="198" t="n"/>
      <c r="AF27" s="198" t="n"/>
      <c r="AG27" s="198" t="n"/>
      <c r="AH27" s="198" t="n"/>
      <c r="AI27" s="185" t="n"/>
      <c r="AJ27" s="225" t="n"/>
      <c r="AK27" s="193" t="n"/>
      <c r="AL27" s="186" t="n"/>
      <c r="AM27" s="198" t="n"/>
      <c r="AN27" s="198" t="n"/>
      <c r="AO27" s="198" t="n"/>
      <c r="AP27" s="198" t="n"/>
      <c r="AQ27" s="198" t="n"/>
      <c r="AR27" s="198" t="n"/>
      <c r="AS27" s="198" t="n"/>
      <c r="AT27" s="198" t="n"/>
      <c r="AU27" s="198" t="n"/>
      <c r="AV27" s="198" t="n"/>
      <c r="AW27" s="198" t="n"/>
      <c r="AX27" s="198" t="n"/>
      <c r="AY27" s="198" t="n"/>
      <c r="AZ27" s="198" t="n"/>
      <c r="BA27" s="185" t="n"/>
      <c r="BB27" s="225" t="n"/>
      <c r="BC27" s="193" t="n"/>
      <c r="BD27" s="94" t="n"/>
    </row>
    <row r="28" ht="15.75" customHeight="1" s="163">
      <c r="A28" s="94" t="n"/>
      <c r="B28" s="146" t="inlineStr">
        <is>
          <t>№ 3</t>
        </is>
      </c>
      <c r="C28" s="147" t="inlineStr">
        <is>
          <t>Коммерция</t>
        </is>
      </c>
      <c r="D28" s="146" t="inlineStr">
        <is>
          <t>№ 4</t>
        </is>
      </c>
      <c r="E28" s="147" t="inlineStr">
        <is>
          <t>Коммерция</t>
        </is>
      </c>
      <c r="F28" s="146" t="inlineStr">
        <is>
          <t>№ 4</t>
        </is>
      </c>
      <c r="G28" s="147" t="inlineStr">
        <is>
          <t>Коммерция</t>
        </is>
      </c>
      <c r="H28" s="146" t="inlineStr">
        <is>
          <t>№ 4</t>
        </is>
      </c>
      <c r="I28" s="147" t="inlineStr">
        <is>
          <t>Коммерция</t>
        </is>
      </c>
      <c r="J28" s="146" t="inlineStr">
        <is>
          <t>№ 5</t>
        </is>
      </c>
      <c r="K28" s="147" t="inlineStr">
        <is>
          <t>Коммерция</t>
        </is>
      </c>
      <c r="L28" s="146" t="inlineStr">
        <is>
          <t>№ 5</t>
        </is>
      </c>
      <c r="M28" s="147" t="inlineStr">
        <is>
          <t>Коммерция</t>
        </is>
      </c>
      <c r="N28" s="146" t="inlineStr">
        <is>
          <t>№ 5</t>
        </is>
      </c>
      <c r="O28" s="147" t="inlineStr">
        <is>
          <t>Коммерция</t>
        </is>
      </c>
      <c r="P28" s="146" t="inlineStr">
        <is>
          <t>№ 6</t>
        </is>
      </c>
      <c r="Q28" s="154" t="inlineStr">
        <is>
          <t>Коммерция</t>
        </is>
      </c>
      <c r="R28" s="225" t="n"/>
      <c r="S28" s="193" t="n"/>
      <c r="T28" s="146" t="inlineStr">
        <is>
          <t>№ 4</t>
        </is>
      </c>
      <c r="U28" s="147" t="inlineStr">
        <is>
          <t>Коммерция</t>
        </is>
      </c>
      <c r="V28" s="146" t="inlineStr">
        <is>
          <t>№ 5</t>
        </is>
      </c>
      <c r="W28" s="147" t="inlineStr">
        <is>
          <t>Коммерция</t>
        </is>
      </c>
      <c r="X28" s="146" t="inlineStr">
        <is>
          <t>№ 5</t>
        </is>
      </c>
      <c r="Y28" s="147" t="inlineStr">
        <is>
          <t>Коммерция</t>
        </is>
      </c>
      <c r="Z28" s="146" t="inlineStr">
        <is>
          <t>№ 5</t>
        </is>
      </c>
      <c r="AA28" s="147" t="inlineStr">
        <is>
          <t>Коммерция</t>
        </is>
      </c>
      <c r="AB28" s="146" t="inlineStr">
        <is>
          <t>№ 6</t>
        </is>
      </c>
      <c r="AC28" s="147" t="inlineStr">
        <is>
          <t>Коммерция</t>
        </is>
      </c>
      <c r="AD28" s="146" t="inlineStr">
        <is>
          <t>№ 6</t>
        </is>
      </c>
      <c r="AE28" s="147" t="inlineStr">
        <is>
          <t>Коммерция</t>
        </is>
      </c>
      <c r="AF28" s="146" t="inlineStr">
        <is>
          <t>№ 6</t>
        </is>
      </c>
      <c r="AG28" s="147" t="inlineStr">
        <is>
          <t>Коммерция</t>
        </is>
      </c>
      <c r="AH28" s="146" t="inlineStr">
        <is>
          <t>№ 7</t>
        </is>
      </c>
      <c r="AI28" s="154" t="inlineStr">
        <is>
          <t>Коммерция</t>
        </is>
      </c>
      <c r="AJ28" s="225" t="n"/>
      <c r="AK28" s="193" t="n"/>
      <c r="AL28" s="146" t="inlineStr">
        <is>
          <t>№ 5</t>
        </is>
      </c>
      <c r="AM28" s="147" t="inlineStr">
        <is>
          <t>Коммерция</t>
        </is>
      </c>
      <c r="AN28" s="146" t="inlineStr">
        <is>
          <t>№ 6</t>
        </is>
      </c>
      <c r="AO28" s="147" t="inlineStr">
        <is>
          <t>Коммерция</t>
        </is>
      </c>
      <c r="AP28" s="146" t="inlineStr">
        <is>
          <t>№ 6</t>
        </is>
      </c>
      <c r="AQ28" s="147" t="inlineStr">
        <is>
          <t>Коммерция</t>
        </is>
      </c>
      <c r="AR28" s="146" t="inlineStr">
        <is>
          <t>№ 6</t>
        </is>
      </c>
      <c r="AS28" s="147" t="inlineStr">
        <is>
          <t>Коммерция</t>
        </is>
      </c>
      <c r="AT28" s="146" t="inlineStr">
        <is>
          <t>№ 7</t>
        </is>
      </c>
      <c r="AU28" s="147" t="inlineStr">
        <is>
          <t>Коммерция</t>
        </is>
      </c>
      <c r="AV28" s="146" t="inlineStr">
        <is>
          <t>№ 7</t>
        </is>
      </c>
      <c r="AW28" s="147" t="inlineStr">
        <is>
          <t>Коммерция</t>
        </is>
      </c>
      <c r="AX28" s="146" t="inlineStr">
        <is>
          <t>№ 7</t>
        </is>
      </c>
      <c r="AY28" s="147" t="inlineStr">
        <is>
          <t>Коммерция</t>
        </is>
      </c>
      <c r="AZ28" s="146" t="inlineStr">
        <is>
          <t>№ 8</t>
        </is>
      </c>
      <c r="BA28" s="154" t="inlineStr">
        <is>
          <t>Коммерция</t>
        </is>
      </c>
      <c r="BB28" s="225" t="n"/>
      <c r="BC28" s="193" t="n"/>
      <c r="BD28" s="94" t="n"/>
    </row>
    <row r="29" ht="15.75" customHeight="1" s="163">
      <c r="A29" s="94" t="n"/>
      <c r="B29" s="148" t="inlineStr">
        <is>
          <t>ЦЕНА:</t>
        </is>
      </c>
      <c r="C29" s="149" t="inlineStr">
        <is>
          <t>ПРОДАНО</t>
        </is>
      </c>
      <c r="D29" s="148" t="inlineStr">
        <is>
          <t>ЦЕНА:</t>
        </is>
      </c>
      <c r="E29" s="149" t="inlineStr">
        <is>
          <t>ПРОДАНО</t>
        </is>
      </c>
      <c r="F29" s="148" t="inlineStr">
        <is>
          <t>ЦЕНА:</t>
        </is>
      </c>
      <c r="G29" s="149" t="inlineStr">
        <is>
          <t>ПРОДАНО</t>
        </is>
      </c>
      <c r="H29" s="148" t="inlineStr">
        <is>
          <t>ЦЕНА:</t>
        </is>
      </c>
      <c r="I29" s="149" t="inlineStr">
        <is>
          <t>ПРОДАНО</t>
        </is>
      </c>
      <c r="J29" s="148" t="inlineStr">
        <is>
          <t>ЦЕНА:</t>
        </is>
      </c>
      <c r="K29" s="149" t="inlineStr">
        <is>
          <t>ПРОДАНО</t>
        </is>
      </c>
      <c r="L29" s="148" t="inlineStr">
        <is>
          <t>ЦЕНА:</t>
        </is>
      </c>
      <c r="M29" s="149" t="inlineStr">
        <is>
          <t>ПРОДАНО</t>
        </is>
      </c>
      <c r="N29" s="148" t="inlineStr">
        <is>
          <t>ЦЕНА:</t>
        </is>
      </c>
      <c r="O29" s="149" t="inlineStr">
        <is>
          <t>ПРОДАНО</t>
        </is>
      </c>
      <c r="P29" s="148" t="inlineStr">
        <is>
          <t>ЦЕНА:</t>
        </is>
      </c>
      <c r="Q29" s="155" t="inlineStr">
        <is>
          <t>ПРОДАНО</t>
        </is>
      </c>
      <c r="R29" s="225" t="n"/>
      <c r="S29" s="193" t="n"/>
      <c r="T29" s="148" t="inlineStr">
        <is>
          <t>ЦЕНА:</t>
        </is>
      </c>
      <c r="U29" s="149" t="inlineStr">
        <is>
          <t>ПРОДАНО</t>
        </is>
      </c>
      <c r="V29" s="148" t="inlineStr">
        <is>
          <t>ЦЕНА:</t>
        </is>
      </c>
      <c r="W29" s="149" t="inlineStr">
        <is>
          <t>ПРОДАНО</t>
        </is>
      </c>
      <c r="X29" s="148" t="inlineStr">
        <is>
          <t>ЦЕНА:</t>
        </is>
      </c>
      <c r="Y29" s="149" t="inlineStr">
        <is>
          <t>ПРОДАНО</t>
        </is>
      </c>
      <c r="Z29" s="148" t="inlineStr">
        <is>
          <t>ЦЕНА:</t>
        </is>
      </c>
      <c r="AA29" s="149" t="inlineStr">
        <is>
          <t>ПРОДАНО</t>
        </is>
      </c>
      <c r="AB29" s="148" t="inlineStr">
        <is>
          <t>ЦЕНА:</t>
        </is>
      </c>
      <c r="AC29" s="149" t="inlineStr">
        <is>
          <t>ПРОДАНО</t>
        </is>
      </c>
      <c r="AD29" s="148" t="inlineStr">
        <is>
          <t>ЦЕНА:</t>
        </is>
      </c>
      <c r="AE29" s="149" t="inlineStr">
        <is>
          <t>ПРОДАНО</t>
        </is>
      </c>
      <c r="AF29" s="148" t="inlineStr">
        <is>
          <t>ЦЕНА:</t>
        </is>
      </c>
      <c r="AG29" s="149" t="inlineStr">
        <is>
          <t>ПРОДАНО</t>
        </is>
      </c>
      <c r="AH29" s="148" t="inlineStr">
        <is>
          <t>ЦЕНА:</t>
        </is>
      </c>
      <c r="AI29" s="155" t="inlineStr">
        <is>
          <t>ПРОДАНО</t>
        </is>
      </c>
      <c r="AJ29" s="225" t="n"/>
      <c r="AK29" s="193" t="n"/>
      <c r="AL29" s="148" t="inlineStr">
        <is>
          <t>ЦЕНА:</t>
        </is>
      </c>
      <c r="AM29" s="149" t="inlineStr">
        <is>
          <t>ПРОДАНО</t>
        </is>
      </c>
      <c r="AN29" s="148" t="inlineStr">
        <is>
          <t>ЦЕНА:</t>
        </is>
      </c>
      <c r="AO29" s="149" t="inlineStr">
        <is>
          <t>ПРОДАНО</t>
        </is>
      </c>
      <c r="AP29" s="148" t="inlineStr">
        <is>
          <t>ЦЕНА:</t>
        </is>
      </c>
      <c r="AQ29" s="149" t="inlineStr">
        <is>
          <t>ПРОДАНО</t>
        </is>
      </c>
      <c r="AR29" s="148" t="inlineStr">
        <is>
          <t>ЦЕНА:</t>
        </is>
      </c>
      <c r="AS29" s="149" t="inlineStr">
        <is>
          <t>ПРОДАНО</t>
        </is>
      </c>
      <c r="AT29" s="148" t="inlineStr">
        <is>
          <t>ЦЕНА:</t>
        </is>
      </c>
      <c r="AU29" s="149" t="inlineStr">
        <is>
          <t>ПРОДАНО</t>
        </is>
      </c>
      <c r="AV29" s="148" t="inlineStr">
        <is>
          <t>ЦЕНА:</t>
        </is>
      </c>
      <c r="AW29" s="149" t="inlineStr">
        <is>
          <t>ПРОДАНО</t>
        </is>
      </c>
      <c r="AX29" s="148" t="inlineStr">
        <is>
          <t>ЦЕНА:</t>
        </is>
      </c>
      <c r="AY29" s="149" t="inlineStr">
        <is>
          <t>ПРОДАНО</t>
        </is>
      </c>
      <c r="AZ29" s="148" t="inlineStr">
        <is>
          <t>ЦЕНА:</t>
        </is>
      </c>
      <c r="BA29" s="155" t="inlineStr">
        <is>
          <t>ПРОДАНО</t>
        </is>
      </c>
      <c r="BB29" s="225" t="n"/>
      <c r="BC29" s="193" t="n"/>
      <c r="BD29" s="94" t="n"/>
    </row>
    <row r="30" ht="15.75" customHeight="1" s="163">
      <c r="A30" s="94" t="n"/>
      <c r="B30" s="150" t="inlineStr">
        <is>
          <t>ПЛОЩАДЬ:</t>
        </is>
      </c>
      <c r="C30" s="151" t="n">
        <v>64</v>
      </c>
      <c r="D30" s="150" t="inlineStr">
        <is>
          <t>ПЛОЩАДЬ:</t>
        </is>
      </c>
      <c r="E30" s="151" t="n">
        <v>65</v>
      </c>
      <c r="F30" s="150" t="inlineStr">
        <is>
          <t>ПЛОЩАДЬ:</t>
        </is>
      </c>
      <c r="G30" s="151" t="n">
        <v>65</v>
      </c>
      <c r="H30" s="150" t="inlineStr">
        <is>
          <t>ПЛОЩАДЬ:</t>
        </is>
      </c>
      <c r="I30" s="151" t="n">
        <v>65</v>
      </c>
      <c r="J30" s="150" t="inlineStr">
        <is>
          <t>ПЛОЩАДЬ:</t>
        </is>
      </c>
      <c r="K30" s="151" t="n">
        <v>66</v>
      </c>
      <c r="L30" s="150" t="inlineStr">
        <is>
          <t>ПЛОЩАДЬ:</t>
        </is>
      </c>
      <c r="M30" s="151" t="n">
        <v>66</v>
      </c>
      <c r="N30" s="150" t="inlineStr">
        <is>
          <t>ПЛОЩАДЬ:</t>
        </is>
      </c>
      <c r="O30" s="151" t="n">
        <v>66</v>
      </c>
      <c r="P30" s="150" t="inlineStr">
        <is>
          <t>ПЛОЩАДЬ:</t>
        </is>
      </c>
      <c r="Q30" s="156" t="n">
        <v>67</v>
      </c>
      <c r="R30" s="225" t="n"/>
      <c r="S30" s="193" t="n"/>
      <c r="T30" s="150" t="inlineStr">
        <is>
          <t>ПЛОЩАДЬ:</t>
        </is>
      </c>
      <c r="U30" s="151" t="n">
        <v>65</v>
      </c>
      <c r="V30" s="150" t="inlineStr">
        <is>
          <t>ПЛОЩАДЬ:</t>
        </is>
      </c>
      <c r="W30" s="151" t="n">
        <v>66</v>
      </c>
      <c r="X30" s="150" t="inlineStr">
        <is>
          <t>ПЛОЩАДЬ:</t>
        </is>
      </c>
      <c r="Y30" s="151" t="n">
        <v>66</v>
      </c>
      <c r="Z30" s="150" t="inlineStr">
        <is>
          <t>ПЛОЩАДЬ:</t>
        </is>
      </c>
      <c r="AA30" s="151" t="n">
        <v>66</v>
      </c>
      <c r="AB30" s="150" t="inlineStr">
        <is>
          <t>ПЛОЩАДЬ:</t>
        </is>
      </c>
      <c r="AC30" s="151" t="n">
        <v>67</v>
      </c>
      <c r="AD30" s="150" t="inlineStr">
        <is>
          <t>ПЛОЩАДЬ:</t>
        </is>
      </c>
      <c r="AE30" s="151" t="n">
        <v>67</v>
      </c>
      <c r="AF30" s="150" t="inlineStr">
        <is>
          <t>ПЛОЩАДЬ:</t>
        </is>
      </c>
      <c r="AG30" s="151" t="n">
        <v>67</v>
      </c>
      <c r="AH30" s="150" t="inlineStr">
        <is>
          <t>ПЛОЩАДЬ:</t>
        </is>
      </c>
      <c r="AI30" s="156" t="n">
        <v>68</v>
      </c>
      <c r="AJ30" s="225" t="n"/>
      <c r="AK30" s="193" t="n"/>
      <c r="AL30" s="150" t="inlineStr">
        <is>
          <t>ПЛОЩАДЬ:</t>
        </is>
      </c>
      <c r="AM30" s="151" t="n">
        <v>66</v>
      </c>
      <c r="AN30" s="150" t="inlineStr">
        <is>
          <t>ПЛОЩАДЬ:</t>
        </is>
      </c>
      <c r="AO30" s="151" t="n">
        <v>67</v>
      </c>
      <c r="AP30" s="150" t="inlineStr">
        <is>
          <t>ПЛОЩАДЬ:</t>
        </is>
      </c>
      <c r="AQ30" s="151" t="n">
        <v>67</v>
      </c>
      <c r="AR30" s="150" t="inlineStr">
        <is>
          <t>ПЛОЩАДЬ:</t>
        </is>
      </c>
      <c r="AS30" s="151" t="n">
        <v>67</v>
      </c>
      <c r="AT30" s="150" t="inlineStr">
        <is>
          <t>ПЛОЩАДЬ:</t>
        </is>
      </c>
      <c r="AU30" s="151" t="n">
        <v>68</v>
      </c>
      <c r="AV30" s="150" t="inlineStr">
        <is>
          <t>ПЛОЩАДЬ:</t>
        </is>
      </c>
      <c r="AW30" s="151" t="n">
        <v>68</v>
      </c>
      <c r="AX30" s="150" t="inlineStr">
        <is>
          <t>ПЛОЩАДЬ:</t>
        </is>
      </c>
      <c r="AY30" s="151" t="n">
        <v>68</v>
      </c>
      <c r="AZ30" s="150" t="inlineStr">
        <is>
          <t>ПЛОЩАДЬ:</t>
        </is>
      </c>
      <c r="BA30" s="156" t="n">
        <v>69</v>
      </c>
      <c r="BB30" s="225" t="n"/>
      <c r="BC30" s="193" t="n"/>
      <c r="BD30" s="94" t="n"/>
    </row>
    <row r="31" ht="15.75" customHeight="1" s="163">
      <c r="A31" s="94" t="n"/>
      <c r="B31" s="146" t="inlineStr">
        <is>
          <t>№ 4</t>
        </is>
      </c>
      <c r="C31" s="147" t="inlineStr">
        <is>
          <t>Коммерция</t>
        </is>
      </c>
      <c r="D31" s="146" t="inlineStr">
        <is>
          <t>№ 5</t>
        </is>
      </c>
      <c r="E31" s="147" t="inlineStr">
        <is>
          <t>Коммерция</t>
        </is>
      </c>
      <c r="F31" s="146" t="inlineStr">
        <is>
          <t>№ 5</t>
        </is>
      </c>
      <c r="G31" s="147" t="inlineStr">
        <is>
          <t>Коммерция</t>
        </is>
      </c>
      <c r="H31" s="146" t="inlineStr">
        <is>
          <t>№ 5</t>
        </is>
      </c>
      <c r="I31" s="147" t="inlineStr">
        <is>
          <t>Коммерция</t>
        </is>
      </c>
      <c r="J31" s="146" t="inlineStr">
        <is>
          <t>№ 6</t>
        </is>
      </c>
      <c r="K31" s="147" t="inlineStr">
        <is>
          <t>Коммерция</t>
        </is>
      </c>
      <c r="L31" s="146" t="inlineStr">
        <is>
          <t>№ 6</t>
        </is>
      </c>
      <c r="M31" s="147" t="inlineStr">
        <is>
          <t>Коммерция</t>
        </is>
      </c>
      <c r="N31" s="146" t="inlineStr">
        <is>
          <t>№ 6</t>
        </is>
      </c>
      <c r="O31" s="147" t="inlineStr">
        <is>
          <t>Коммерция</t>
        </is>
      </c>
      <c r="P31" s="146" t="inlineStr">
        <is>
          <t>№ 7</t>
        </is>
      </c>
      <c r="Q31" s="154" t="inlineStr">
        <is>
          <t>Коммерция</t>
        </is>
      </c>
      <c r="R31" s="225" t="n"/>
      <c r="S31" s="193" t="n"/>
      <c r="T31" s="146" t="inlineStr">
        <is>
          <t>№ 5</t>
        </is>
      </c>
      <c r="U31" s="147" t="inlineStr">
        <is>
          <t>Коммерция</t>
        </is>
      </c>
      <c r="V31" s="146" t="inlineStr">
        <is>
          <t>№ 6</t>
        </is>
      </c>
      <c r="W31" s="147" t="inlineStr">
        <is>
          <t>Коммерция</t>
        </is>
      </c>
      <c r="X31" s="146" t="inlineStr">
        <is>
          <t>№ 6</t>
        </is>
      </c>
      <c r="Y31" s="147" t="inlineStr">
        <is>
          <t>Коммерция</t>
        </is>
      </c>
      <c r="Z31" s="146" t="inlineStr">
        <is>
          <t>№ 6</t>
        </is>
      </c>
      <c r="AA31" s="147" t="inlineStr">
        <is>
          <t>Коммерция</t>
        </is>
      </c>
      <c r="AB31" s="146" t="inlineStr">
        <is>
          <t>№ 7</t>
        </is>
      </c>
      <c r="AC31" s="147" t="inlineStr">
        <is>
          <t>Коммерция</t>
        </is>
      </c>
      <c r="AD31" s="146" t="inlineStr">
        <is>
          <t>№ 7</t>
        </is>
      </c>
      <c r="AE31" s="147" t="inlineStr">
        <is>
          <t>Коммерция</t>
        </is>
      </c>
      <c r="AF31" s="146" t="inlineStr">
        <is>
          <t>№ 7</t>
        </is>
      </c>
      <c r="AG31" s="147" t="inlineStr">
        <is>
          <t>Коммерция</t>
        </is>
      </c>
      <c r="AH31" s="146" t="inlineStr">
        <is>
          <t>№ 8</t>
        </is>
      </c>
      <c r="AI31" s="154" t="inlineStr">
        <is>
          <t>Коммерция</t>
        </is>
      </c>
      <c r="AJ31" s="225" t="n"/>
      <c r="AK31" s="193" t="n"/>
      <c r="AL31" s="146" t="inlineStr">
        <is>
          <t>№ 6</t>
        </is>
      </c>
      <c r="AM31" s="147" t="inlineStr">
        <is>
          <t>Коммерция</t>
        </is>
      </c>
      <c r="AN31" s="146" t="inlineStr">
        <is>
          <t>№ 7</t>
        </is>
      </c>
      <c r="AO31" s="147" t="inlineStr">
        <is>
          <t>Коммерция</t>
        </is>
      </c>
      <c r="AP31" s="146" t="inlineStr">
        <is>
          <t>№ 7</t>
        </is>
      </c>
      <c r="AQ31" s="147" t="inlineStr">
        <is>
          <t>Коммерция</t>
        </is>
      </c>
      <c r="AR31" s="146" t="inlineStr">
        <is>
          <t>№ 7</t>
        </is>
      </c>
      <c r="AS31" s="147" t="inlineStr">
        <is>
          <t>Коммерция</t>
        </is>
      </c>
      <c r="AT31" s="146" t="inlineStr">
        <is>
          <t>№ 8</t>
        </is>
      </c>
      <c r="AU31" s="147" t="inlineStr">
        <is>
          <t>Коммерция</t>
        </is>
      </c>
      <c r="AV31" s="146" t="inlineStr">
        <is>
          <t>№ 8</t>
        </is>
      </c>
      <c r="AW31" s="147" t="inlineStr">
        <is>
          <t>Коммерция</t>
        </is>
      </c>
      <c r="AX31" s="146" t="inlineStr">
        <is>
          <t>№ 8</t>
        </is>
      </c>
      <c r="AY31" s="147" t="inlineStr">
        <is>
          <t>Коммерция</t>
        </is>
      </c>
      <c r="AZ31" s="146" t="inlineStr">
        <is>
          <t>№ 9</t>
        </is>
      </c>
      <c r="BA31" s="154" t="inlineStr">
        <is>
          <t>Коммерция</t>
        </is>
      </c>
      <c r="BB31" s="225" t="n"/>
      <c r="BC31" s="193" t="n"/>
      <c r="BD31" s="94" t="n"/>
    </row>
    <row r="32" ht="15.75" customHeight="1" s="163">
      <c r="A32" s="94" t="n"/>
      <c r="B32" s="148" t="inlineStr">
        <is>
          <t>ЦЕНА:</t>
        </is>
      </c>
      <c r="C32" s="149" t="inlineStr">
        <is>
          <t>ПРОДАНО</t>
        </is>
      </c>
      <c r="D32" s="148" t="inlineStr">
        <is>
          <t>ЦЕНА:</t>
        </is>
      </c>
      <c r="E32" s="149" t="inlineStr">
        <is>
          <t>ПРОДАНО</t>
        </is>
      </c>
      <c r="F32" s="148" t="inlineStr">
        <is>
          <t>ЦЕНА:</t>
        </is>
      </c>
      <c r="G32" s="149" t="inlineStr">
        <is>
          <t>ПРОДАНО</t>
        </is>
      </c>
      <c r="H32" s="148" t="inlineStr">
        <is>
          <t>ЦЕНА:</t>
        </is>
      </c>
      <c r="I32" s="149" t="inlineStr">
        <is>
          <t>ПРОДАНО</t>
        </is>
      </c>
      <c r="J32" s="148" t="inlineStr">
        <is>
          <t>ЦЕНА:</t>
        </is>
      </c>
      <c r="K32" s="149" t="inlineStr">
        <is>
          <t>ПРОДАНО</t>
        </is>
      </c>
      <c r="L32" s="148" t="inlineStr">
        <is>
          <t>ЦЕНА:</t>
        </is>
      </c>
      <c r="M32" s="149" t="inlineStr">
        <is>
          <t>ПРОДАНО</t>
        </is>
      </c>
      <c r="N32" s="148" t="inlineStr">
        <is>
          <t>ЦЕНА:</t>
        </is>
      </c>
      <c r="O32" s="149" t="inlineStr">
        <is>
          <t>ПРОДАНО</t>
        </is>
      </c>
      <c r="P32" s="148" t="inlineStr">
        <is>
          <t>ЦЕНА:</t>
        </is>
      </c>
      <c r="Q32" s="155" t="inlineStr">
        <is>
          <t>ПРОДАНО</t>
        </is>
      </c>
      <c r="R32" s="225" t="n"/>
      <c r="S32" s="193" t="n"/>
      <c r="T32" s="148" t="inlineStr">
        <is>
          <t>ЦЕНА:</t>
        </is>
      </c>
      <c r="U32" s="149" t="inlineStr">
        <is>
          <t>ПРОДАНО</t>
        </is>
      </c>
      <c r="V32" s="148" t="inlineStr">
        <is>
          <t>ЦЕНА:</t>
        </is>
      </c>
      <c r="W32" s="149" t="inlineStr">
        <is>
          <t>ПРОДАНО</t>
        </is>
      </c>
      <c r="X32" s="148" t="inlineStr">
        <is>
          <t>ЦЕНА:</t>
        </is>
      </c>
      <c r="Y32" s="149" t="inlineStr">
        <is>
          <t>ПРОДАНО</t>
        </is>
      </c>
      <c r="Z32" s="148" t="inlineStr">
        <is>
          <t>ЦЕНА:</t>
        </is>
      </c>
      <c r="AA32" s="149" t="inlineStr">
        <is>
          <t>ПРОДАНО</t>
        </is>
      </c>
      <c r="AB32" s="148" t="inlineStr">
        <is>
          <t>ЦЕНА:</t>
        </is>
      </c>
      <c r="AC32" s="149" t="inlineStr">
        <is>
          <t>ПРОДАНО</t>
        </is>
      </c>
      <c r="AD32" s="148" t="inlineStr">
        <is>
          <t>ЦЕНА:</t>
        </is>
      </c>
      <c r="AE32" s="149" t="inlineStr">
        <is>
          <t>ПРОДАНО</t>
        </is>
      </c>
      <c r="AF32" s="148" t="inlineStr">
        <is>
          <t>ЦЕНА:</t>
        </is>
      </c>
      <c r="AG32" s="149" t="inlineStr">
        <is>
          <t>ПРОДАНО</t>
        </is>
      </c>
      <c r="AH32" s="148" t="inlineStr">
        <is>
          <t>ЦЕНА:</t>
        </is>
      </c>
      <c r="AI32" s="155" t="inlineStr">
        <is>
          <t>ПРОДАНО</t>
        </is>
      </c>
      <c r="AJ32" s="225" t="n"/>
      <c r="AK32" s="193" t="n"/>
      <c r="AL32" s="148" t="inlineStr">
        <is>
          <t>ЦЕНА:</t>
        </is>
      </c>
      <c r="AM32" s="149" t="inlineStr">
        <is>
          <t>ПРОДАНО</t>
        </is>
      </c>
      <c r="AN32" s="148" t="inlineStr">
        <is>
          <t>ЦЕНА:</t>
        </is>
      </c>
      <c r="AO32" s="149" t="inlineStr">
        <is>
          <t>ПРОДАНО</t>
        </is>
      </c>
      <c r="AP32" s="148" t="inlineStr">
        <is>
          <t>ЦЕНА:</t>
        </is>
      </c>
      <c r="AQ32" s="149" t="inlineStr">
        <is>
          <t>ПРОДАНО</t>
        </is>
      </c>
      <c r="AR32" s="148" t="inlineStr">
        <is>
          <t>ЦЕНА:</t>
        </is>
      </c>
      <c r="AS32" s="149" t="inlineStr">
        <is>
          <t>ПРОДАНО</t>
        </is>
      </c>
      <c r="AT32" s="148" t="inlineStr">
        <is>
          <t>ЦЕНА:</t>
        </is>
      </c>
      <c r="AU32" s="149" t="inlineStr">
        <is>
          <t>ПРОДАНО</t>
        </is>
      </c>
      <c r="AV32" s="148" t="inlineStr">
        <is>
          <t>ЦЕНА:</t>
        </is>
      </c>
      <c r="AW32" s="149" t="inlineStr">
        <is>
          <t>ПРОДАНО</t>
        </is>
      </c>
      <c r="AX32" s="148" t="inlineStr">
        <is>
          <t>ЦЕНА:</t>
        </is>
      </c>
      <c r="AY32" s="149" t="inlineStr">
        <is>
          <t>ПРОДАНО</t>
        </is>
      </c>
      <c r="AZ32" s="148" t="inlineStr">
        <is>
          <t>ЦЕНА:</t>
        </is>
      </c>
      <c r="BA32" s="155" t="inlineStr">
        <is>
          <t>ПРОДАНО</t>
        </is>
      </c>
      <c r="BB32" s="225" t="n"/>
      <c r="BC32" s="193" t="n"/>
      <c r="BD32" s="94" t="n"/>
    </row>
    <row r="33" ht="15.75" customHeight="1" s="163">
      <c r="A33" s="94" t="n"/>
      <c r="B33" s="150" t="inlineStr">
        <is>
          <t>ПЛОЩАДЬ:</t>
        </is>
      </c>
      <c r="C33" s="151" t="n">
        <v>65</v>
      </c>
      <c r="D33" s="150" t="inlineStr">
        <is>
          <t>ПЛОЩАДЬ:</t>
        </is>
      </c>
      <c r="E33" s="151" t="n">
        <v>66</v>
      </c>
      <c r="F33" s="150" t="inlineStr">
        <is>
          <t>ПЛОЩАДЬ:</t>
        </is>
      </c>
      <c r="G33" s="151" t="n">
        <v>66</v>
      </c>
      <c r="H33" s="150" t="inlineStr">
        <is>
          <t>ПЛОЩАДЬ:</t>
        </is>
      </c>
      <c r="I33" s="151" t="n">
        <v>66</v>
      </c>
      <c r="J33" s="150" t="inlineStr">
        <is>
          <t>ПЛОЩАДЬ:</t>
        </is>
      </c>
      <c r="K33" s="151" t="n">
        <v>67</v>
      </c>
      <c r="L33" s="150" t="inlineStr">
        <is>
          <t>ПЛОЩАДЬ:</t>
        </is>
      </c>
      <c r="M33" s="151" t="n">
        <v>67</v>
      </c>
      <c r="N33" s="150" t="inlineStr">
        <is>
          <t>ПЛОЩАДЬ:</t>
        </is>
      </c>
      <c r="O33" s="151" t="n">
        <v>67</v>
      </c>
      <c r="P33" s="150" t="inlineStr">
        <is>
          <t>ПЛОЩАДЬ:</t>
        </is>
      </c>
      <c r="Q33" s="156" t="n">
        <v>68</v>
      </c>
      <c r="R33" s="225" t="n"/>
      <c r="S33" s="193" t="n"/>
      <c r="T33" s="150" t="inlineStr">
        <is>
          <t>ПЛОЩАДЬ:</t>
        </is>
      </c>
      <c r="U33" s="151" t="n">
        <v>66</v>
      </c>
      <c r="V33" s="150" t="inlineStr">
        <is>
          <t>ПЛОЩАДЬ:</t>
        </is>
      </c>
      <c r="W33" s="151" t="n">
        <v>67</v>
      </c>
      <c r="X33" s="150" t="inlineStr">
        <is>
          <t>ПЛОЩАДЬ:</t>
        </is>
      </c>
      <c r="Y33" s="151" t="n">
        <v>67</v>
      </c>
      <c r="Z33" s="150" t="inlineStr">
        <is>
          <t>ПЛОЩАДЬ:</t>
        </is>
      </c>
      <c r="AA33" s="151" t="n">
        <v>67</v>
      </c>
      <c r="AB33" s="150" t="inlineStr">
        <is>
          <t>ПЛОЩАДЬ:</t>
        </is>
      </c>
      <c r="AC33" s="151" t="n">
        <v>68</v>
      </c>
      <c r="AD33" s="150" t="inlineStr">
        <is>
          <t>ПЛОЩАДЬ:</t>
        </is>
      </c>
      <c r="AE33" s="151" t="n">
        <v>68</v>
      </c>
      <c r="AF33" s="150" t="inlineStr">
        <is>
          <t>ПЛОЩАДЬ:</t>
        </is>
      </c>
      <c r="AG33" s="151" t="n">
        <v>68</v>
      </c>
      <c r="AH33" s="150" t="inlineStr">
        <is>
          <t>ПЛОЩАДЬ:</t>
        </is>
      </c>
      <c r="AI33" s="156" t="n">
        <v>69</v>
      </c>
      <c r="AJ33" s="225" t="n"/>
      <c r="AK33" s="193" t="n"/>
      <c r="AL33" s="150" t="inlineStr">
        <is>
          <t>ПЛОЩАДЬ:</t>
        </is>
      </c>
      <c r="AM33" s="151" t="n">
        <v>67</v>
      </c>
      <c r="AN33" s="150" t="inlineStr">
        <is>
          <t>ПЛОЩАДЬ:</t>
        </is>
      </c>
      <c r="AO33" s="151" t="n">
        <v>68</v>
      </c>
      <c r="AP33" s="150" t="inlineStr">
        <is>
          <t>ПЛОЩАДЬ:</t>
        </is>
      </c>
      <c r="AQ33" s="151" t="n">
        <v>68</v>
      </c>
      <c r="AR33" s="150" t="inlineStr">
        <is>
          <t>ПЛОЩАДЬ:</t>
        </is>
      </c>
      <c r="AS33" s="151" t="n">
        <v>68</v>
      </c>
      <c r="AT33" s="150" t="inlineStr">
        <is>
          <t>ПЛОЩАДЬ:</t>
        </is>
      </c>
      <c r="AU33" s="151" t="n">
        <v>69</v>
      </c>
      <c r="AV33" s="150" t="inlineStr">
        <is>
          <t>ПЛОЩАДЬ:</t>
        </is>
      </c>
      <c r="AW33" s="151" t="n">
        <v>69</v>
      </c>
      <c r="AX33" s="150" t="inlineStr">
        <is>
          <t>ПЛОЩАДЬ:</t>
        </is>
      </c>
      <c r="AY33" s="151" t="n">
        <v>69</v>
      </c>
      <c r="AZ33" s="150" t="inlineStr">
        <is>
          <t>ПЛОЩАДЬ:</t>
        </is>
      </c>
      <c r="BA33" s="156" t="n">
        <v>70</v>
      </c>
      <c r="BB33" s="225" t="n"/>
      <c r="BC33" s="193" t="n"/>
      <c r="BD33" s="94" t="n"/>
    </row>
    <row r="34" ht="15.75" customHeight="1" s="163">
      <c r="A34" s="94" t="n"/>
      <c r="B34" s="222" t="inlineStr">
        <is>
          <t>Айвазовского</t>
        </is>
      </c>
      <c r="C34" s="223" t="n"/>
      <c r="D34" s="223" t="n"/>
      <c r="E34" s="223" t="n"/>
      <c r="F34" s="223" t="n"/>
      <c r="G34" s="223" t="n"/>
      <c r="H34" s="223" t="n"/>
      <c r="I34" s="223" t="n"/>
      <c r="J34" s="223" t="n"/>
      <c r="K34" s="223" t="n"/>
      <c r="L34" s="223" t="n"/>
      <c r="M34" s="223" t="n"/>
      <c r="N34" s="223" t="n"/>
      <c r="O34" s="223" t="n"/>
      <c r="P34" s="223" t="n"/>
      <c r="Q34" s="182" t="n"/>
      <c r="R34" s="225" t="n"/>
      <c r="S34" s="193" t="n"/>
      <c r="T34" s="222" t="inlineStr">
        <is>
          <t>Айвазовского</t>
        </is>
      </c>
      <c r="U34" s="223" t="n"/>
      <c r="V34" s="223" t="n"/>
      <c r="W34" s="223" t="n"/>
      <c r="X34" s="223" t="n"/>
      <c r="Y34" s="223" t="n"/>
      <c r="Z34" s="223" t="n"/>
      <c r="AA34" s="223" t="n"/>
      <c r="AB34" s="223" t="n"/>
      <c r="AC34" s="223" t="n"/>
      <c r="AD34" s="223" t="n"/>
      <c r="AE34" s="223" t="n"/>
      <c r="AF34" s="223" t="n"/>
      <c r="AG34" s="223" t="n"/>
      <c r="AH34" s="223" t="n"/>
      <c r="AI34" s="182" t="n"/>
      <c r="AJ34" s="225" t="n"/>
      <c r="AK34" s="193" t="n"/>
      <c r="AL34" s="222" t="inlineStr">
        <is>
          <t>Айвазовского</t>
        </is>
      </c>
      <c r="AM34" s="223" t="n"/>
      <c r="AN34" s="223" t="n"/>
      <c r="AO34" s="223" t="n"/>
      <c r="AP34" s="223" t="n"/>
      <c r="AQ34" s="223" t="n"/>
      <c r="AR34" s="223" t="n"/>
      <c r="AS34" s="223" t="n"/>
      <c r="AT34" s="223" t="n"/>
      <c r="AU34" s="223" t="n"/>
      <c r="AV34" s="223" t="n"/>
      <c r="AW34" s="223" t="n"/>
      <c r="AX34" s="223" t="n"/>
      <c r="AY34" s="223" t="n"/>
      <c r="AZ34" s="223" t="n"/>
      <c r="BA34" s="182" t="n"/>
      <c r="BB34" s="225" t="n"/>
      <c r="BC34" s="193" t="n"/>
      <c r="BD34" s="94" t="n"/>
    </row>
    <row r="35" ht="15.75" customHeight="1" s="163">
      <c r="A35" s="94" t="n"/>
      <c r="B35" s="186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85" t="n"/>
      <c r="R35" s="225" t="n"/>
      <c r="S35" s="193" t="n"/>
      <c r="T35" s="186" t="n"/>
      <c r="U35" s="198" t="n"/>
      <c r="V35" s="198" t="n"/>
      <c r="W35" s="198" t="n"/>
      <c r="X35" s="198" t="n"/>
      <c r="Y35" s="198" t="n"/>
      <c r="Z35" s="198" t="n"/>
      <c r="AA35" s="198" t="n"/>
      <c r="AB35" s="198" t="n"/>
      <c r="AC35" s="198" t="n"/>
      <c r="AD35" s="198" t="n"/>
      <c r="AE35" s="198" t="n"/>
      <c r="AF35" s="198" t="n"/>
      <c r="AG35" s="198" t="n"/>
      <c r="AH35" s="198" t="n"/>
      <c r="AI35" s="185" t="n"/>
      <c r="AJ35" s="225" t="n"/>
      <c r="AK35" s="193" t="n"/>
      <c r="AL35" s="186" t="n"/>
      <c r="AM35" s="198" t="n"/>
      <c r="AN35" s="198" t="n"/>
      <c r="AO35" s="198" t="n"/>
      <c r="AP35" s="198" t="n"/>
      <c r="AQ35" s="198" t="n"/>
      <c r="AR35" s="198" t="n"/>
      <c r="AS35" s="198" t="n"/>
      <c r="AT35" s="198" t="n"/>
      <c r="AU35" s="198" t="n"/>
      <c r="AV35" s="198" t="n"/>
      <c r="AW35" s="198" t="n"/>
      <c r="AX35" s="198" t="n"/>
      <c r="AY35" s="198" t="n"/>
      <c r="AZ35" s="198" t="n"/>
      <c r="BA35" s="185" t="n"/>
      <c r="BB35" s="225" t="n"/>
      <c r="BC35" s="193" t="n"/>
      <c r="BD35" s="94" t="n"/>
    </row>
    <row r="36" ht="15.75" customHeight="1" s="163">
      <c r="A36" s="94" t="n"/>
      <c r="B36" s="146" t="inlineStr">
        <is>
          <t>№ 2</t>
        </is>
      </c>
      <c r="C36" s="147" t="inlineStr">
        <is>
          <t>Коммерция</t>
        </is>
      </c>
      <c r="D36" s="146" t="inlineStr">
        <is>
          <t>№ 3</t>
        </is>
      </c>
      <c r="E36" s="147" t="inlineStr">
        <is>
          <t>Коммерция</t>
        </is>
      </c>
      <c r="F36" s="146" t="inlineStr">
        <is>
          <t>№ 3</t>
        </is>
      </c>
      <c r="G36" s="147" t="inlineStr">
        <is>
          <t>Коммерция</t>
        </is>
      </c>
      <c r="H36" s="146" t="inlineStr">
        <is>
          <t>№ 3</t>
        </is>
      </c>
      <c r="I36" s="147" t="inlineStr">
        <is>
          <t>Коммерция</t>
        </is>
      </c>
      <c r="J36" s="146" t="inlineStr">
        <is>
          <t>№ 4</t>
        </is>
      </c>
      <c r="K36" s="147" t="inlineStr">
        <is>
          <t>Коммерция</t>
        </is>
      </c>
      <c r="L36" s="146" t="inlineStr">
        <is>
          <t>№ 4</t>
        </is>
      </c>
      <c r="M36" s="147" t="inlineStr">
        <is>
          <t>Коммерция</t>
        </is>
      </c>
      <c r="N36" s="146" t="inlineStr">
        <is>
          <t>№ 4</t>
        </is>
      </c>
      <c r="O36" s="147" t="inlineStr">
        <is>
          <t>Коммерция</t>
        </is>
      </c>
      <c r="P36" s="146" t="inlineStr">
        <is>
          <t>№ 5</t>
        </is>
      </c>
      <c r="Q36" s="154" t="inlineStr">
        <is>
          <t>Коммерция</t>
        </is>
      </c>
      <c r="R36" s="225" t="n"/>
      <c r="S36" s="193" t="n"/>
      <c r="T36" s="146" t="inlineStr">
        <is>
          <t>№ 3</t>
        </is>
      </c>
      <c r="U36" s="147" t="inlineStr">
        <is>
          <t>Коммерция</t>
        </is>
      </c>
      <c r="V36" s="146" t="inlineStr">
        <is>
          <t>№ 4</t>
        </is>
      </c>
      <c r="W36" s="147" t="inlineStr">
        <is>
          <t>Коммерция</t>
        </is>
      </c>
      <c r="X36" s="146" t="inlineStr">
        <is>
          <t>№ 4</t>
        </is>
      </c>
      <c r="Y36" s="147" t="inlineStr">
        <is>
          <t>Коммерция</t>
        </is>
      </c>
      <c r="Z36" s="146" t="inlineStr">
        <is>
          <t>№ 4</t>
        </is>
      </c>
      <c r="AA36" s="147" t="inlineStr">
        <is>
          <t>Коммерция</t>
        </is>
      </c>
      <c r="AB36" s="146" t="inlineStr">
        <is>
          <t>№ 5</t>
        </is>
      </c>
      <c r="AC36" s="147" t="inlineStr">
        <is>
          <t>Коммерция</t>
        </is>
      </c>
      <c r="AD36" s="146" t="inlineStr">
        <is>
          <t>№ 5</t>
        </is>
      </c>
      <c r="AE36" s="147" t="inlineStr">
        <is>
          <t>Коммерция</t>
        </is>
      </c>
      <c r="AF36" s="146" t="inlineStr">
        <is>
          <t>№ 5</t>
        </is>
      </c>
      <c r="AG36" s="147" t="inlineStr">
        <is>
          <t>Коммерция</t>
        </is>
      </c>
      <c r="AH36" s="146" t="inlineStr">
        <is>
          <t>№ 6</t>
        </is>
      </c>
      <c r="AI36" s="154" t="inlineStr">
        <is>
          <t>Коммерция</t>
        </is>
      </c>
      <c r="AJ36" s="225" t="n"/>
      <c r="AK36" s="193" t="n"/>
      <c r="AL36" s="146" t="inlineStr">
        <is>
          <t>№ 4</t>
        </is>
      </c>
      <c r="AM36" s="147" t="inlineStr">
        <is>
          <t>Коммерция</t>
        </is>
      </c>
      <c r="AN36" s="146" t="inlineStr">
        <is>
          <t>№ 5</t>
        </is>
      </c>
      <c r="AO36" s="147" t="inlineStr">
        <is>
          <t>Коммерция</t>
        </is>
      </c>
      <c r="AP36" s="146" t="inlineStr">
        <is>
          <t>№ 5</t>
        </is>
      </c>
      <c r="AQ36" s="147" t="inlineStr">
        <is>
          <t>Коммерция</t>
        </is>
      </c>
      <c r="AR36" s="146" t="inlineStr">
        <is>
          <t>№ 5</t>
        </is>
      </c>
      <c r="AS36" s="147" t="inlineStr">
        <is>
          <t>Коммерция</t>
        </is>
      </c>
      <c r="AT36" s="146" t="inlineStr">
        <is>
          <t>№ 6</t>
        </is>
      </c>
      <c r="AU36" s="147" t="inlineStr">
        <is>
          <t>Коммерция</t>
        </is>
      </c>
      <c r="AV36" s="146" t="inlineStr">
        <is>
          <t>№ 6</t>
        </is>
      </c>
      <c r="AW36" s="147" t="inlineStr">
        <is>
          <t>Коммерция</t>
        </is>
      </c>
      <c r="AX36" s="146" t="inlineStr">
        <is>
          <t>№ 6</t>
        </is>
      </c>
      <c r="AY36" s="147" t="inlineStr">
        <is>
          <t>Коммерция</t>
        </is>
      </c>
      <c r="AZ36" s="146" t="inlineStr">
        <is>
          <t>№ 7</t>
        </is>
      </c>
      <c r="BA36" s="154" t="inlineStr">
        <is>
          <t>Коммерция</t>
        </is>
      </c>
      <c r="BB36" s="225" t="n"/>
      <c r="BC36" s="193" t="n"/>
      <c r="BD36" s="94" t="n"/>
    </row>
    <row r="37" ht="15.75" customHeight="1" s="163">
      <c r="A37" s="94" t="n"/>
      <c r="B37" s="148" t="inlineStr">
        <is>
          <t>ЦЕНА:</t>
        </is>
      </c>
      <c r="C37" s="149" t="inlineStr">
        <is>
          <t>ПРОДАНО</t>
        </is>
      </c>
      <c r="D37" s="148" t="inlineStr">
        <is>
          <t>ЦЕНА:</t>
        </is>
      </c>
      <c r="E37" s="149" t="inlineStr">
        <is>
          <t>ПРОДАНО</t>
        </is>
      </c>
      <c r="F37" s="148" t="inlineStr">
        <is>
          <t>ЦЕНА:</t>
        </is>
      </c>
      <c r="G37" s="149" t="inlineStr">
        <is>
          <t>ПРОДАНО</t>
        </is>
      </c>
      <c r="H37" s="148" t="inlineStr">
        <is>
          <t>ЦЕНА:</t>
        </is>
      </c>
      <c r="I37" s="149" t="inlineStr">
        <is>
          <t>ПРОДАНО</t>
        </is>
      </c>
      <c r="J37" s="148" t="inlineStr">
        <is>
          <t>ЦЕНА:</t>
        </is>
      </c>
      <c r="K37" s="149" t="inlineStr">
        <is>
          <t>ПРОДАНО</t>
        </is>
      </c>
      <c r="L37" s="148" t="inlineStr">
        <is>
          <t>ЦЕНА:</t>
        </is>
      </c>
      <c r="M37" s="149" t="inlineStr">
        <is>
          <t>ПРОДАНО</t>
        </is>
      </c>
      <c r="N37" s="148" t="inlineStr">
        <is>
          <t>ЦЕНА:</t>
        </is>
      </c>
      <c r="O37" s="149" t="inlineStr">
        <is>
          <t>ПРОДАНО</t>
        </is>
      </c>
      <c r="P37" s="148" t="inlineStr">
        <is>
          <t>ЦЕНА:</t>
        </is>
      </c>
      <c r="Q37" s="155" t="inlineStr">
        <is>
          <t>ПРОДАНО</t>
        </is>
      </c>
      <c r="R37" s="225" t="n"/>
      <c r="S37" s="193" t="n"/>
      <c r="T37" s="148" t="inlineStr">
        <is>
          <t>ЦЕНА:</t>
        </is>
      </c>
      <c r="U37" s="149" t="inlineStr">
        <is>
          <t>ПРОДАНО</t>
        </is>
      </c>
      <c r="V37" s="148" t="inlineStr">
        <is>
          <t>ЦЕНА:</t>
        </is>
      </c>
      <c r="W37" s="149" t="inlineStr">
        <is>
          <t>ПРОДАНО</t>
        </is>
      </c>
      <c r="X37" s="148" t="inlineStr">
        <is>
          <t>ЦЕНА:</t>
        </is>
      </c>
      <c r="Y37" s="149" t="inlineStr">
        <is>
          <t>ПРОДАНО</t>
        </is>
      </c>
      <c r="Z37" s="148" t="inlineStr">
        <is>
          <t>ЦЕНА:</t>
        </is>
      </c>
      <c r="AA37" s="149" t="inlineStr">
        <is>
          <t>ПРОДАНО</t>
        </is>
      </c>
      <c r="AB37" s="148" t="inlineStr">
        <is>
          <t>ЦЕНА:</t>
        </is>
      </c>
      <c r="AC37" s="149" t="inlineStr">
        <is>
          <t>ПРОДАНО</t>
        </is>
      </c>
      <c r="AD37" s="148" t="inlineStr">
        <is>
          <t>ЦЕНА:</t>
        </is>
      </c>
      <c r="AE37" s="149" t="inlineStr">
        <is>
          <t>ПРОДАНО</t>
        </is>
      </c>
      <c r="AF37" s="148" t="inlineStr">
        <is>
          <t>ЦЕНА:</t>
        </is>
      </c>
      <c r="AG37" s="149" t="inlineStr">
        <is>
          <t>ПРОДАНО</t>
        </is>
      </c>
      <c r="AH37" s="148" t="inlineStr">
        <is>
          <t>ЦЕНА:</t>
        </is>
      </c>
      <c r="AI37" s="155" t="inlineStr">
        <is>
          <t>ПРОДАНО</t>
        </is>
      </c>
      <c r="AJ37" s="225" t="n"/>
      <c r="AK37" s="193" t="n"/>
      <c r="AL37" s="148" t="inlineStr">
        <is>
          <t>ЦЕНА:</t>
        </is>
      </c>
      <c r="AM37" s="149" t="inlineStr">
        <is>
          <t>ПРОДАНО</t>
        </is>
      </c>
      <c r="AN37" s="148" t="inlineStr">
        <is>
          <t>ЦЕНА:</t>
        </is>
      </c>
      <c r="AO37" s="149" t="inlineStr">
        <is>
          <t>ПРОДАНО</t>
        </is>
      </c>
      <c r="AP37" s="148" t="inlineStr">
        <is>
          <t>ЦЕНА:</t>
        </is>
      </c>
      <c r="AQ37" s="149" t="inlineStr">
        <is>
          <t>ПРОДАНО</t>
        </is>
      </c>
      <c r="AR37" s="148" t="inlineStr">
        <is>
          <t>ЦЕНА:</t>
        </is>
      </c>
      <c r="AS37" s="149" t="inlineStr">
        <is>
          <t>ПРОДАНО</t>
        </is>
      </c>
      <c r="AT37" s="148" t="inlineStr">
        <is>
          <t>ЦЕНА:</t>
        </is>
      </c>
      <c r="AU37" s="149" t="inlineStr">
        <is>
          <t>ПРОДАНО</t>
        </is>
      </c>
      <c r="AV37" s="148" t="inlineStr">
        <is>
          <t>ЦЕНА:</t>
        </is>
      </c>
      <c r="AW37" s="149" t="inlineStr">
        <is>
          <t>ПРОДАНО</t>
        </is>
      </c>
      <c r="AX37" s="148" t="inlineStr">
        <is>
          <t>ЦЕНА:</t>
        </is>
      </c>
      <c r="AY37" s="149" t="inlineStr">
        <is>
          <t>ПРОДАНО</t>
        </is>
      </c>
      <c r="AZ37" s="148" t="inlineStr">
        <is>
          <t>ЦЕНА:</t>
        </is>
      </c>
      <c r="BA37" s="155" t="inlineStr">
        <is>
          <t>ПРОДАНО</t>
        </is>
      </c>
      <c r="BB37" s="225" t="n"/>
      <c r="BC37" s="193" t="n"/>
      <c r="BD37" s="94" t="n"/>
    </row>
    <row r="38" ht="15.75" customHeight="1" s="163">
      <c r="A38" s="94" t="n"/>
      <c r="B38" s="150" t="inlineStr">
        <is>
          <t>ПЛОЩАДЬ:</t>
        </is>
      </c>
      <c r="C38" s="151" t="n">
        <v>63</v>
      </c>
      <c r="D38" s="150" t="inlineStr">
        <is>
          <t>ПЛОЩАДЬ:</t>
        </is>
      </c>
      <c r="E38" s="151" t="n">
        <v>64</v>
      </c>
      <c r="F38" s="150" t="inlineStr">
        <is>
          <t>ПЛОЩАДЬ:</t>
        </is>
      </c>
      <c r="G38" s="151" t="n">
        <v>64</v>
      </c>
      <c r="H38" s="150" t="inlineStr">
        <is>
          <t>ПЛОЩАДЬ:</t>
        </is>
      </c>
      <c r="I38" s="151" t="n">
        <v>64</v>
      </c>
      <c r="J38" s="150" t="inlineStr">
        <is>
          <t>ПЛОЩАДЬ:</t>
        </is>
      </c>
      <c r="K38" s="151" t="n">
        <v>65</v>
      </c>
      <c r="L38" s="150" t="inlineStr">
        <is>
          <t>ПЛОЩАДЬ:</t>
        </is>
      </c>
      <c r="M38" s="151" t="n">
        <v>65</v>
      </c>
      <c r="N38" s="150" t="inlineStr">
        <is>
          <t>ПЛОЩАДЬ:</t>
        </is>
      </c>
      <c r="O38" s="151" t="n">
        <v>65</v>
      </c>
      <c r="P38" s="150" t="inlineStr">
        <is>
          <t>ПЛОЩАДЬ:</t>
        </is>
      </c>
      <c r="Q38" s="156" t="n">
        <v>66</v>
      </c>
      <c r="R38" s="225" t="n"/>
      <c r="S38" s="193" t="n"/>
      <c r="T38" s="150" t="inlineStr">
        <is>
          <t>ПЛОЩАДЬ:</t>
        </is>
      </c>
      <c r="U38" s="151" t="n">
        <v>64</v>
      </c>
      <c r="V38" s="150" t="inlineStr">
        <is>
          <t>ПЛОЩАДЬ:</t>
        </is>
      </c>
      <c r="W38" s="151" t="n">
        <v>65</v>
      </c>
      <c r="X38" s="150" t="inlineStr">
        <is>
          <t>ПЛОЩАДЬ:</t>
        </is>
      </c>
      <c r="Y38" s="151" t="n">
        <v>65</v>
      </c>
      <c r="Z38" s="150" t="inlineStr">
        <is>
          <t>ПЛОЩАДЬ:</t>
        </is>
      </c>
      <c r="AA38" s="151" t="n">
        <v>65</v>
      </c>
      <c r="AB38" s="150" t="inlineStr">
        <is>
          <t>ПЛОЩАДЬ:</t>
        </is>
      </c>
      <c r="AC38" s="151" t="n">
        <v>66</v>
      </c>
      <c r="AD38" s="150" t="inlineStr">
        <is>
          <t>ПЛОЩАДЬ:</t>
        </is>
      </c>
      <c r="AE38" s="151" t="n">
        <v>66</v>
      </c>
      <c r="AF38" s="150" t="inlineStr">
        <is>
          <t>ПЛОЩАДЬ:</t>
        </is>
      </c>
      <c r="AG38" s="151" t="n">
        <v>66</v>
      </c>
      <c r="AH38" s="150" t="inlineStr">
        <is>
          <t>ПЛОЩАДЬ:</t>
        </is>
      </c>
      <c r="AI38" s="156" t="n">
        <v>67</v>
      </c>
      <c r="AJ38" s="225" t="n"/>
      <c r="AK38" s="193" t="n"/>
      <c r="AL38" s="150" t="inlineStr">
        <is>
          <t>ПЛОЩАДЬ:</t>
        </is>
      </c>
      <c r="AM38" s="151" t="n">
        <v>65</v>
      </c>
      <c r="AN38" s="150" t="inlineStr">
        <is>
          <t>ПЛОЩАДЬ:</t>
        </is>
      </c>
      <c r="AO38" s="151" t="n">
        <v>66</v>
      </c>
      <c r="AP38" s="150" t="inlineStr">
        <is>
          <t>ПЛОЩАДЬ:</t>
        </is>
      </c>
      <c r="AQ38" s="151" t="n">
        <v>66</v>
      </c>
      <c r="AR38" s="150" t="inlineStr">
        <is>
          <t>ПЛОЩАДЬ:</t>
        </is>
      </c>
      <c r="AS38" s="151" t="n">
        <v>66</v>
      </c>
      <c r="AT38" s="150" t="inlineStr">
        <is>
          <t>ПЛОЩАДЬ:</t>
        </is>
      </c>
      <c r="AU38" s="151" t="n">
        <v>67</v>
      </c>
      <c r="AV38" s="150" t="inlineStr">
        <is>
          <t>ПЛОЩАДЬ:</t>
        </is>
      </c>
      <c r="AW38" s="151" t="n">
        <v>67</v>
      </c>
      <c r="AX38" s="150" t="inlineStr">
        <is>
          <t>ПЛОЩАДЬ:</t>
        </is>
      </c>
      <c r="AY38" s="151" t="n">
        <v>67</v>
      </c>
      <c r="AZ38" s="150" t="inlineStr">
        <is>
          <t>ПЛОЩАДЬ:</t>
        </is>
      </c>
      <c r="BA38" s="156" t="n">
        <v>68</v>
      </c>
      <c r="BB38" s="225" t="n"/>
      <c r="BC38" s="193" t="n"/>
      <c r="BD38" s="94" t="n"/>
    </row>
    <row r="39" ht="15.75" customHeight="1" s="163">
      <c r="A39" s="94" t="n"/>
      <c r="B39" s="146" t="inlineStr">
        <is>
          <t>№ 3</t>
        </is>
      </c>
      <c r="C39" s="147" t="inlineStr">
        <is>
          <t>Коммерция</t>
        </is>
      </c>
      <c r="D39" s="146" t="inlineStr">
        <is>
          <t>№ 4</t>
        </is>
      </c>
      <c r="E39" s="147" t="inlineStr">
        <is>
          <t>Коммерция</t>
        </is>
      </c>
      <c r="F39" s="146" t="inlineStr">
        <is>
          <t>№ 4</t>
        </is>
      </c>
      <c r="G39" s="147" t="inlineStr">
        <is>
          <t>Коммерция</t>
        </is>
      </c>
      <c r="H39" s="146" t="inlineStr">
        <is>
          <t>№ 4</t>
        </is>
      </c>
      <c r="I39" s="147" t="inlineStr">
        <is>
          <t>Коммерция</t>
        </is>
      </c>
      <c r="J39" s="146" t="inlineStr">
        <is>
          <t>№ 5</t>
        </is>
      </c>
      <c r="K39" s="147" t="inlineStr">
        <is>
          <t>Коммерция</t>
        </is>
      </c>
      <c r="L39" s="146" t="inlineStr">
        <is>
          <t>№ 5</t>
        </is>
      </c>
      <c r="M39" s="147" t="inlineStr">
        <is>
          <t>Коммерция</t>
        </is>
      </c>
      <c r="N39" s="146" t="inlineStr">
        <is>
          <t>№ 5</t>
        </is>
      </c>
      <c r="O39" s="147" t="inlineStr">
        <is>
          <t>Коммерция</t>
        </is>
      </c>
      <c r="P39" s="146" t="inlineStr">
        <is>
          <t>№ 6</t>
        </is>
      </c>
      <c r="Q39" s="154" t="inlineStr">
        <is>
          <t>Коммерция</t>
        </is>
      </c>
      <c r="R39" s="225" t="n"/>
      <c r="S39" s="193" t="n"/>
      <c r="T39" s="146" t="inlineStr">
        <is>
          <t>№ 4</t>
        </is>
      </c>
      <c r="U39" s="147" t="inlineStr">
        <is>
          <t>Коммерция</t>
        </is>
      </c>
      <c r="V39" s="146" t="inlineStr">
        <is>
          <t>№ 5</t>
        </is>
      </c>
      <c r="W39" s="147" t="inlineStr">
        <is>
          <t>Коммерция</t>
        </is>
      </c>
      <c r="X39" s="146" t="inlineStr">
        <is>
          <t>№ 5</t>
        </is>
      </c>
      <c r="Y39" s="147" t="inlineStr">
        <is>
          <t>Коммерция</t>
        </is>
      </c>
      <c r="Z39" s="146" t="inlineStr">
        <is>
          <t>№ 5</t>
        </is>
      </c>
      <c r="AA39" s="147" t="inlineStr">
        <is>
          <t>Коммерция</t>
        </is>
      </c>
      <c r="AB39" s="146" t="inlineStr">
        <is>
          <t>№ 6</t>
        </is>
      </c>
      <c r="AC39" s="147" t="inlineStr">
        <is>
          <t>Коммерция</t>
        </is>
      </c>
      <c r="AD39" s="146" t="inlineStr">
        <is>
          <t>№ 6</t>
        </is>
      </c>
      <c r="AE39" s="147" t="inlineStr">
        <is>
          <t>Коммерция</t>
        </is>
      </c>
      <c r="AF39" s="146" t="inlineStr">
        <is>
          <t>№ 6</t>
        </is>
      </c>
      <c r="AG39" s="147" t="inlineStr">
        <is>
          <t>Коммерция</t>
        </is>
      </c>
      <c r="AH39" s="146" t="inlineStr">
        <is>
          <t>№ 7</t>
        </is>
      </c>
      <c r="AI39" s="154" t="inlineStr">
        <is>
          <t>Коммерция</t>
        </is>
      </c>
      <c r="AJ39" s="225" t="n"/>
      <c r="AK39" s="193" t="n"/>
      <c r="AL39" s="146" t="inlineStr">
        <is>
          <t>№ 5</t>
        </is>
      </c>
      <c r="AM39" s="147" t="inlineStr">
        <is>
          <t>Коммерция</t>
        </is>
      </c>
      <c r="AN39" s="146" t="inlineStr">
        <is>
          <t>№ 6</t>
        </is>
      </c>
      <c r="AO39" s="147" t="inlineStr">
        <is>
          <t>Коммерция</t>
        </is>
      </c>
      <c r="AP39" s="146" t="inlineStr">
        <is>
          <t>№ 6</t>
        </is>
      </c>
      <c r="AQ39" s="147" t="inlineStr">
        <is>
          <t>Коммерция</t>
        </is>
      </c>
      <c r="AR39" s="146" t="inlineStr">
        <is>
          <t>№ 6</t>
        </is>
      </c>
      <c r="AS39" s="147" t="inlineStr">
        <is>
          <t>Коммерция</t>
        </is>
      </c>
      <c r="AT39" s="146" t="inlineStr">
        <is>
          <t>№ 7</t>
        </is>
      </c>
      <c r="AU39" s="147" t="inlineStr">
        <is>
          <t>Коммерция</t>
        </is>
      </c>
      <c r="AV39" s="146" t="inlineStr">
        <is>
          <t>№ 7</t>
        </is>
      </c>
      <c r="AW39" s="147" t="inlineStr">
        <is>
          <t>Коммерция</t>
        </is>
      </c>
      <c r="AX39" s="146" t="inlineStr">
        <is>
          <t>№ 7</t>
        </is>
      </c>
      <c r="AY39" s="147" t="inlineStr">
        <is>
          <t>Коммерция</t>
        </is>
      </c>
      <c r="AZ39" s="146" t="inlineStr">
        <is>
          <t>№ 8</t>
        </is>
      </c>
      <c r="BA39" s="154" t="inlineStr">
        <is>
          <t>Коммерция</t>
        </is>
      </c>
      <c r="BB39" s="225" t="n"/>
      <c r="BC39" s="193" t="n"/>
      <c r="BD39" s="94" t="n"/>
    </row>
    <row r="40" ht="15.75" customHeight="1" s="163">
      <c r="A40" s="94" t="n"/>
      <c r="B40" s="148" t="inlineStr">
        <is>
          <t>ЦЕНА:</t>
        </is>
      </c>
      <c r="C40" s="149" t="inlineStr">
        <is>
          <t>ПРОДАНО</t>
        </is>
      </c>
      <c r="D40" s="148" t="inlineStr">
        <is>
          <t>ЦЕНА:</t>
        </is>
      </c>
      <c r="E40" s="149" t="inlineStr">
        <is>
          <t>ПРОДАНО</t>
        </is>
      </c>
      <c r="F40" s="148" t="inlineStr">
        <is>
          <t>ЦЕНА:</t>
        </is>
      </c>
      <c r="G40" s="149" t="inlineStr">
        <is>
          <t>ПРОДАНО</t>
        </is>
      </c>
      <c r="H40" s="148" t="inlineStr">
        <is>
          <t>ЦЕНА:</t>
        </is>
      </c>
      <c r="I40" s="149" t="inlineStr">
        <is>
          <t>ПРОДАНО</t>
        </is>
      </c>
      <c r="J40" s="148" t="inlineStr">
        <is>
          <t>ЦЕНА:</t>
        </is>
      </c>
      <c r="K40" s="149" t="inlineStr">
        <is>
          <t>ПРОДАНО</t>
        </is>
      </c>
      <c r="L40" s="148" t="inlineStr">
        <is>
          <t>ЦЕНА:</t>
        </is>
      </c>
      <c r="M40" s="149" t="inlineStr">
        <is>
          <t>ПРОДАНО</t>
        </is>
      </c>
      <c r="N40" s="148" t="inlineStr">
        <is>
          <t>ЦЕНА:</t>
        </is>
      </c>
      <c r="O40" s="149" t="inlineStr">
        <is>
          <t>ПРОДАНО</t>
        </is>
      </c>
      <c r="P40" s="148" t="inlineStr">
        <is>
          <t>ЦЕНА:</t>
        </is>
      </c>
      <c r="Q40" s="155" t="inlineStr">
        <is>
          <t>ПРОДАНО</t>
        </is>
      </c>
      <c r="R40" s="225" t="n"/>
      <c r="S40" s="193" t="n"/>
      <c r="T40" s="148" t="inlineStr">
        <is>
          <t>ЦЕНА:</t>
        </is>
      </c>
      <c r="U40" s="149" t="inlineStr">
        <is>
          <t>ПРОДАНО</t>
        </is>
      </c>
      <c r="V40" s="148" t="inlineStr">
        <is>
          <t>ЦЕНА:</t>
        </is>
      </c>
      <c r="W40" s="149" t="inlineStr">
        <is>
          <t>ПРОДАНО</t>
        </is>
      </c>
      <c r="X40" s="148" t="inlineStr">
        <is>
          <t>ЦЕНА:</t>
        </is>
      </c>
      <c r="Y40" s="149" t="inlineStr">
        <is>
          <t>ПРОДАНО</t>
        </is>
      </c>
      <c r="Z40" s="148" t="inlineStr">
        <is>
          <t>ЦЕНА:</t>
        </is>
      </c>
      <c r="AA40" s="149" t="inlineStr">
        <is>
          <t>ПРОДАНО</t>
        </is>
      </c>
      <c r="AB40" s="148" t="inlineStr">
        <is>
          <t>ЦЕНА:</t>
        </is>
      </c>
      <c r="AC40" s="149" t="inlineStr">
        <is>
          <t>ПРОДАНО</t>
        </is>
      </c>
      <c r="AD40" s="148" t="inlineStr">
        <is>
          <t>ЦЕНА:</t>
        </is>
      </c>
      <c r="AE40" s="149" t="inlineStr">
        <is>
          <t>ПРОДАНО</t>
        </is>
      </c>
      <c r="AF40" s="148" t="inlineStr">
        <is>
          <t>ЦЕНА:</t>
        </is>
      </c>
      <c r="AG40" s="149" t="inlineStr">
        <is>
          <t>ПРОДАНО</t>
        </is>
      </c>
      <c r="AH40" s="148" t="inlineStr">
        <is>
          <t>ЦЕНА:</t>
        </is>
      </c>
      <c r="AI40" s="155" t="inlineStr">
        <is>
          <t>ПРОДАНО</t>
        </is>
      </c>
      <c r="AJ40" s="225" t="n"/>
      <c r="AK40" s="193" t="n"/>
      <c r="AL40" s="148" t="inlineStr">
        <is>
          <t>ЦЕНА:</t>
        </is>
      </c>
      <c r="AM40" s="149" t="inlineStr">
        <is>
          <t>ПРОДАНО</t>
        </is>
      </c>
      <c r="AN40" s="148" t="inlineStr">
        <is>
          <t>ЦЕНА:</t>
        </is>
      </c>
      <c r="AO40" s="149" t="inlineStr">
        <is>
          <t>ПРОДАНО</t>
        </is>
      </c>
      <c r="AP40" s="148" t="inlineStr">
        <is>
          <t>ЦЕНА:</t>
        </is>
      </c>
      <c r="AQ40" s="149" t="inlineStr">
        <is>
          <t>ПРОДАНО</t>
        </is>
      </c>
      <c r="AR40" s="148" t="inlineStr">
        <is>
          <t>ЦЕНА:</t>
        </is>
      </c>
      <c r="AS40" s="149" t="inlineStr">
        <is>
          <t>ПРОДАНО</t>
        </is>
      </c>
      <c r="AT40" s="148" t="inlineStr">
        <is>
          <t>ЦЕНА:</t>
        </is>
      </c>
      <c r="AU40" s="149" t="inlineStr">
        <is>
          <t>ПРОДАНО</t>
        </is>
      </c>
      <c r="AV40" s="148" t="inlineStr">
        <is>
          <t>ЦЕНА:</t>
        </is>
      </c>
      <c r="AW40" s="149" t="inlineStr">
        <is>
          <t>ПРОДАНО</t>
        </is>
      </c>
      <c r="AX40" s="148" t="inlineStr">
        <is>
          <t>ЦЕНА:</t>
        </is>
      </c>
      <c r="AY40" s="149" t="inlineStr">
        <is>
          <t>ПРОДАНО</t>
        </is>
      </c>
      <c r="AZ40" s="148" t="inlineStr">
        <is>
          <t>ЦЕНА:</t>
        </is>
      </c>
      <c r="BA40" s="155" t="inlineStr">
        <is>
          <t>ПРОДАНО</t>
        </is>
      </c>
      <c r="BB40" s="225" t="n"/>
      <c r="BC40" s="193" t="n"/>
      <c r="BD40" s="94" t="n"/>
    </row>
    <row r="41" ht="15.75" customHeight="1" s="163">
      <c r="A41" s="94" t="n"/>
      <c r="B41" s="157" t="inlineStr">
        <is>
          <t>ПЛОЩАДЬ:</t>
        </is>
      </c>
      <c r="C41" s="158" t="n">
        <v>64</v>
      </c>
      <c r="D41" s="157" t="inlineStr">
        <is>
          <t>ПЛОЩАДЬ:</t>
        </is>
      </c>
      <c r="E41" s="158" t="n">
        <v>65</v>
      </c>
      <c r="F41" s="157" t="inlineStr">
        <is>
          <t>ПЛОЩАДЬ:</t>
        </is>
      </c>
      <c r="G41" s="158" t="n">
        <v>65</v>
      </c>
      <c r="H41" s="157" t="inlineStr">
        <is>
          <t>ПЛОЩАДЬ:</t>
        </is>
      </c>
      <c r="I41" s="158" t="n">
        <v>65</v>
      </c>
      <c r="J41" s="157" t="inlineStr">
        <is>
          <t>ПЛОЩАДЬ:</t>
        </is>
      </c>
      <c r="K41" s="158" t="n">
        <v>66</v>
      </c>
      <c r="L41" s="157" t="inlineStr">
        <is>
          <t>ПЛОЩАДЬ:</t>
        </is>
      </c>
      <c r="M41" s="158" t="n">
        <v>66</v>
      </c>
      <c r="N41" s="157" t="inlineStr">
        <is>
          <t>ПЛОЩАДЬ:</t>
        </is>
      </c>
      <c r="O41" s="158" t="n">
        <v>66</v>
      </c>
      <c r="P41" s="157" t="inlineStr">
        <is>
          <t>ПЛОЩАДЬ:</t>
        </is>
      </c>
      <c r="Q41" s="159" t="n">
        <v>67</v>
      </c>
      <c r="R41" s="225" t="n"/>
      <c r="S41" s="193" t="n"/>
      <c r="T41" s="157" t="inlineStr">
        <is>
          <t>ПЛОЩАДЬ:</t>
        </is>
      </c>
      <c r="U41" s="158" t="n">
        <v>65</v>
      </c>
      <c r="V41" s="157" t="inlineStr">
        <is>
          <t>ПЛОЩАДЬ:</t>
        </is>
      </c>
      <c r="W41" s="158" t="n">
        <v>66</v>
      </c>
      <c r="X41" s="157" t="inlineStr">
        <is>
          <t>ПЛОЩАДЬ:</t>
        </is>
      </c>
      <c r="Y41" s="158" t="n">
        <v>66</v>
      </c>
      <c r="Z41" s="157" t="inlineStr">
        <is>
          <t>ПЛОЩАДЬ:</t>
        </is>
      </c>
      <c r="AA41" s="158" t="n">
        <v>66</v>
      </c>
      <c r="AB41" s="157" t="inlineStr">
        <is>
          <t>ПЛОЩАДЬ:</t>
        </is>
      </c>
      <c r="AC41" s="158" t="n">
        <v>67</v>
      </c>
      <c r="AD41" s="157" t="inlineStr">
        <is>
          <t>ПЛОЩАДЬ:</t>
        </is>
      </c>
      <c r="AE41" s="158" t="n">
        <v>67</v>
      </c>
      <c r="AF41" s="157" t="inlineStr">
        <is>
          <t>ПЛОЩАДЬ:</t>
        </is>
      </c>
      <c r="AG41" s="158" t="n">
        <v>67</v>
      </c>
      <c r="AH41" s="157" t="inlineStr">
        <is>
          <t>ПЛОЩАДЬ:</t>
        </is>
      </c>
      <c r="AI41" s="159" t="n">
        <v>68</v>
      </c>
      <c r="AJ41" s="225" t="n"/>
      <c r="AK41" s="193" t="n"/>
      <c r="AL41" s="157" t="inlineStr">
        <is>
          <t>ПЛОЩАДЬ:</t>
        </is>
      </c>
      <c r="AM41" s="158" t="n">
        <v>66</v>
      </c>
      <c r="AN41" s="157" t="inlineStr">
        <is>
          <t>ПЛОЩАДЬ:</t>
        </is>
      </c>
      <c r="AO41" s="158" t="n">
        <v>67</v>
      </c>
      <c r="AP41" s="157" t="inlineStr">
        <is>
          <t>ПЛОЩАДЬ:</t>
        </is>
      </c>
      <c r="AQ41" s="158" t="n">
        <v>67</v>
      </c>
      <c r="AR41" s="157" t="inlineStr">
        <is>
          <t>ПЛОЩАДЬ:</t>
        </is>
      </c>
      <c r="AS41" s="158" t="n">
        <v>67</v>
      </c>
      <c r="AT41" s="157" t="inlineStr">
        <is>
          <t>ПЛОЩАДЬ:</t>
        </is>
      </c>
      <c r="AU41" s="158" t="n">
        <v>68</v>
      </c>
      <c r="AV41" s="157" t="inlineStr">
        <is>
          <t>ПЛОЩАДЬ:</t>
        </is>
      </c>
      <c r="AW41" s="158" t="n">
        <v>68</v>
      </c>
      <c r="AX41" s="157" t="inlineStr">
        <is>
          <t>ПЛОЩАДЬ:</t>
        </is>
      </c>
      <c r="AY41" s="158" t="n">
        <v>68</v>
      </c>
      <c r="AZ41" s="157" t="inlineStr">
        <is>
          <t>ПЛОЩАДЬ:</t>
        </is>
      </c>
      <c r="BA41" s="159" t="n">
        <v>69</v>
      </c>
      <c r="BB41" s="225" t="n"/>
      <c r="BC41" s="193" t="n"/>
      <c r="BD41" s="94" t="n"/>
    </row>
    <row r="42" ht="15.75" customHeight="1" s="163">
      <c r="A42" s="92" t="n"/>
      <c r="B42" s="222" t="inlineStr">
        <is>
          <t>Луначарского</t>
        </is>
      </c>
      <c r="C42" s="223" t="n"/>
      <c r="D42" s="223" t="n"/>
      <c r="E42" s="223" t="n"/>
      <c r="F42" s="223" t="n"/>
      <c r="G42" s="223" t="n"/>
      <c r="H42" s="223" t="n"/>
      <c r="I42" s="223" t="n"/>
      <c r="J42" s="223" t="n"/>
      <c r="K42" s="223" t="n"/>
      <c r="L42" s="223" t="n"/>
      <c r="M42" s="223" t="n"/>
      <c r="N42" s="223" t="n"/>
      <c r="O42" s="223" t="n"/>
      <c r="P42" s="223" t="n"/>
      <c r="Q42" s="182" t="n"/>
      <c r="R42" s="225" t="n"/>
      <c r="S42" s="193" t="n"/>
      <c r="T42" s="222" t="inlineStr">
        <is>
          <t>Луначарского</t>
        </is>
      </c>
      <c r="U42" s="223" t="n"/>
      <c r="V42" s="223" t="n"/>
      <c r="W42" s="223" t="n"/>
      <c r="X42" s="223" t="n"/>
      <c r="Y42" s="223" t="n"/>
      <c r="Z42" s="223" t="n"/>
      <c r="AA42" s="223" t="n"/>
      <c r="AB42" s="223" t="n"/>
      <c r="AC42" s="223" t="n"/>
      <c r="AD42" s="223" t="n"/>
      <c r="AE42" s="223" t="n"/>
      <c r="AF42" s="223" t="n"/>
      <c r="AG42" s="223" t="n"/>
      <c r="AH42" s="223" t="n"/>
      <c r="AI42" s="182" t="n"/>
      <c r="AJ42" s="225" t="n"/>
      <c r="AK42" s="193" t="n"/>
      <c r="AL42" s="222" t="inlineStr">
        <is>
          <t>Луначарского</t>
        </is>
      </c>
      <c r="AM42" s="223" t="n"/>
      <c r="AN42" s="223" t="n"/>
      <c r="AO42" s="223" t="n"/>
      <c r="AP42" s="223" t="n"/>
      <c r="AQ42" s="223" t="n"/>
      <c r="AR42" s="223" t="n"/>
      <c r="AS42" s="223" t="n"/>
      <c r="AT42" s="223" t="n"/>
      <c r="AU42" s="223" t="n"/>
      <c r="AV42" s="223" t="n"/>
      <c r="AW42" s="223" t="n"/>
      <c r="AX42" s="223" t="n"/>
      <c r="AY42" s="223" t="n"/>
      <c r="AZ42" s="223" t="n"/>
      <c r="BA42" s="182" t="n"/>
      <c r="BB42" s="225" t="n"/>
      <c r="BC42" s="193" t="n"/>
      <c r="BD42" s="94" t="n"/>
    </row>
    <row r="43" ht="15.75" customHeight="1" s="163">
      <c r="A43" s="92" t="n"/>
      <c r="B43" s="186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85" t="n"/>
      <c r="R43" s="225" t="n"/>
      <c r="S43" s="193" t="n"/>
      <c r="T43" s="186" t="n"/>
      <c r="U43" s="198" t="n"/>
      <c r="V43" s="198" t="n"/>
      <c r="W43" s="198" t="n"/>
      <c r="X43" s="198" t="n"/>
      <c r="Y43" s="198" t="n"/>
      <c r="Z43" s="198" t="n"/>
      <c r="AA43" s="198" t="n"/>
      <c r="AB43" s="198" t="n"/>
      <c r="AC43" s="198" t="n"/>
      <c r="AD43" s="198" t="n"/>
      <c r="AE43" s="198" t="n"/>
      <c r="AF43" s="198" t="n"/>
      <c r="AG43" s="198" t="n"/>
      <c r="AH43" s="198" t="n"/>
      <c r="AI43" s="185" t="n"/>
      <c r="AJ43" s="225" t="n"/>
      <c r="AK43" s="193" t="n"/>
      <c r="AL43" s="186" t="n"/>
      <c r="AM43" s="198" t="n"/>
      <c r="AN43" s="198" t="n"/>
      <c r="AO43" s="198" t="n"/>
      <c r="AP43" s="198" t="n"/>
      <c r="AQ43" s="198" t="n"/>
      <c r="AR43" s="198" t="n"/>
      <c r="AS43" s="198" t="n"/>
      <c r="AT43" s="198" t="n"/>
      <c r="AU43" s="198" t="n"/>
      <c r="AV43" s="198" t="n"/>
      <c r="AW43" s="198" t="n"/>
      <c r="AX43" s="198" t="n"/>
      <c r="AY43" s="198" t="n"/>
      <c r="AZ43" s="198" t="n"/>
      <c r="BA43" s="185" t="n"/>
      <c r="BB43" s="225" t="n"/>
      <c r="BC43" s="193" t="n"/>
      <c r="BD43" s="94" t="n"/>
    </row>
    <row r="44" ht="15.75" customHeight="1" s="163">
      <c r="A44" s="94" t="n"/>
      <c r="B44" s="160" t="inlineStr">
        <is>
          <t>№ 3</t>
        </is>
      </c>
      <c r="C44" s="161" t="inlineStr">
        <is>
          <t>Коммерция</t>
        </is>
      </c>
      <c r="D44" s="160" t="inlineStr">
        <is>
          <t>№ 4</t>
        </is>
      </c>
      <c r="E44" s="161" t="inlineStr">
        <is>
          <t>Коммерция</t>
        </is>
      </c>
      <c r="F44" s="160" t="inlineStr">
        <is>
          <t>№ 4</t>
        </is>
      </c>
      <c r="G44" s="161" t="inlineStr">
        <is>
          <t>Коммерция</t>
        </is>
      </c>
      <c r="H44" s="160" t="inlineStr">
        <is>
          <t>№ 4</t>
        </is>
      </c>
      <c r="I44" s="161" t="inlineStr">
        <is>
          <t>Коммерция</t>
        </is>
      </c>
      <c r="J44" s="160" t="inlineStr">
        <is>
          <t>№ 5</t>
        </is>
      </c>
      <c r="K44" s="161" t="inlineStr">
        <is>
          <t>Коммерция</t>
        </is>
      </c>
      <c r="L44" s="160" t="inlineStr">
        <is>
          <t>№ 5</t>
        </is>
      </c>
      <c r="M44" s="161" t="inlineStr">
        <is>
          <t>Коммерция</t>
        </is>
      </c>
      <c r="N44" s="160" t="inlineStr">
        <is>
          <t>№ 5</t>
        </is>
      </c>
      <c r="O44" s="161" t="inlineStr">
        <is>
          <t>Коммерция</t>
        </is>
      </c>
      <c r="P44" s="160" t="inlineStr">
        <is>
          <t>№ 6</t>
        </is>
      </c>
      <c r="Q44" s="162" t="inlineStr">
        <is>
          <t>Коммерция</t>
        </is>
      </c>
      <c r="R44" s="225" t="n"/>
      <c r="S44" s="193" t="n"/>
      <c r="T44" s="160" t="inlineStr">
        <is>
          <t>№ 4</t>
        </is>
      </c>
      <c r="U44" s="161" t="inlineStr">
        <is>
          <t>Коммерция</t>
        </is>
      </c>
      <c r="V44" s="160" t="inlineStr">
        <is>
          <t>№ 5</t>
        </is>
      </c>
      <c r="W44" s="161" t="inlineStr">
        <is>
          <t>Коммерция</t>
        </is>
      </c>
      <c r="X44" s="160" t="inlineStr">
        <is>
          <t>№ 5</t>
        </is>
      </c>
      <c r="Y44" s="161" t="inlineStr">
        <is>
          <t>Коммерция</t>
        </is>
      </c>
      <c r="Z44" s="160" t="inlineStr">
        <is>
          <t>№ 5</t>
        </is>
      </c>
      <c r="AA44" s="161" t="inlineStr">
        <is>
          <t>Коммерция</t>
        </is>
      </c>
      <c r="AB44" s="160" t="inlineStr">
        <is>
          <t>№ 6</t>
        </is>
      </c>
      <c r="AC44" s="161" t="inlineStr">
        <is>
          <t>Коммерция</t>
        </is>
      </c>
      <c r="AD44" s="160" t="inlineStr">
        <is>
          <t>№ 6</t>
        </is>
      </c>
      <c r="AE44" s="161" t="inlineStr">
        <is>
          <t>Коммерция</t>
        </is>
      </c>
      <c r="AF44" s="160" t="inlineStr">
        <is>
          <t>№ 6</t>
        </is>
      </c>
      <c r="AG44" s="161" t="inlineStr">
        <is>
          <t>Коммерция</t>
        </is>
      </c>
      <c r="AH44" s="160" t="inlineStr">
        <is>
          <t>№ 7</t>
        </is>
      </c>
      <c r="AI44" s="162" t="inlineStr">
        <is>
          <t>Коммерция</t>
        </is>
      </c>
      <c r="AJ44" s="225" t="n"/>
      <c r="AK44" s="193" t="n"/>
      <c r="AL44" s="160" t="inlineStr">
        <is>
          <t>№ 5</t>
        </is>
      </c>
      <c r="AM44" s="161" t="inlineStr">
        <is>
          <t>Коммерция</t>
        </is>
      </c>
      <c r="AN44" s="160" t="inlineStr">
        <is>
          <t>№ 6</t>
        </is>
      </c>
      <c r="AO44" s="161" t="inlineStr">
        <is>
          <t>Коммерция</t>
        </is>
      </c>
      <c r="AP44" s="160" t="inlineStr">
        <is>
          <t>№ 6</t>
        </is>
      </c>
      <c r="AQ44" s="161" t="inlineStr">
        <is>
          <t>Коммерция</t>
        </is>
      </c>
      <c r="AR44" s="160" t="inlineStr">
        <is>
          <t>№ 6</t>
        </is>
      </c>
      <c r="AS44" s="161" t="inlineStr">
        <is>
          <t>Коммерция</t>
        </is>
      </c>
      <c r="AT44" s="160" t="inlineStr">
        <is>
          <t>№ 7</t>
        </is>
      </c>
      <c r="AU44" s="161" t="inlineStr">
        <is>
          <t>Коммерция</t>
        </is>
      </c>
      <c r="AV44" s="160" t="inlineStr">
        <is>
          <t>№ 7</t>
        </is>
      </c>
      <c r="AW44" s="161" t="inlineStr">
        <is>
          <t>Коммерция</t>
        </is>
      </c>
      <c r="AX44" s="160" t="inlineStr">
        <is>
          <t>№ 7</t>
        </is>
      </c>
      <c r="AY44" s="161" t="inlineStr">
        <is>
          <t>Коммерция</t>
        </is>
      </c>
      <c r="AZ44" s="160" t="inlineStr">
        <is>
          <t>№ 8</t>
        </is>
      </c>
      <c r="BA44" s="162" t="inlineStr">
        <is>
          <t>Коммерция</t>
        </is>
      </c>
      <c r="BB44" s="225" t="n"/>
      <c r="BC44" s="193" t="n"/>
      <c r="BD44" s="94" t="n"/>
    </row>
    <row r="45" ht="15.75" customHeight="1" s="163">
      <c r="A45" s="94" t="n"/>
      <c r="B45" s="148" t="inlineStr">
        <is>
          <t>ЦЕНА:</t>
        </is>
      </c>
      <c r="C45" s="149" t="inlineStr">
        <is>
          <t>ПРОДАНО</t>
        </is>
      </c>
      <c r="D45" s="148" t="inlineStr">
        <is>
          <t>ЦЕНА:</t>
        </is>
      </c>
      <c r="E45" s="149" t="inlineStr">
        <is>
          <t>ПРОДАНО</t>
        </is>
      </c>
      <c r="F45" s="148" t="inlineStr">
        <is>
          <t>ЦЕНА:</t>
        </is>
      </c>
      <c r="G45" s="149" t="inlineStr">
        <is>
          <t>ПРОДАНО</t>
        </is>
      </c>
      <c r="H45" s="148" t="inlineStr">
        <is>
          <t>ЦЕНА:</t>
        </is>
      </c>
      <c r="I45" s="149" t="inlineStr">
        <is>
          <t>ПРОДАНО</t>
        </is>
      </c>
      <c r="J45" s="148" t="inlineStr">
        <is>
          <t>ЦЕНА:</t>
        </is>
      </c>
      <c r="K45" s="149" t="inlineStr">
        <is>
          <t>ПРОДАНО</t>
        </is>
      </c>
      <c r="L45" s="148" t="inlineStr">
        <is>
          <t>ЦЕНА:</t>
        </is>
      </c>
      <c r="M45" s="149" t="inlineStr">
        <is>
          <t>ПРОДАНО</t>
        </is>
      </c>
      <c r="N45" s="148" t="inlineStr">
        <is>
          <t>ЦЕНА:</t>
        </is>
      </c>
      <c r="O45" s="149" t="inlineStr">
        <is>
          <t>ПРОДАНО</t>
        </is>
      </c>
      <c r="P45" s="148" t="inlineStr">
        <is>
          <t>ЦЕНА:</t>
        </is>
      </c>
      <c r="Q45" s="155" t="inlineStr">
        <is>
          <t>ПРОДАНО</t>
        </is>
      </c>
      <c r="R45" s="225" t="n"/>
      <c r="S45" s="193" t="n"/>
      <c r="T45" s="148" t="inlineStr">
        <is>
          <t>ЦЕНА:</t>
        </is>
      </c>
      <c r="U45" s="149" t="inlineStr">
        <is>
          <t>ПРОДАНО</t>
        </is>
      </c>
      <c r="V45" s="148" t="inlineStr">
        <is>
          <t>ЦЕНА:</t>
        </is>
      </c>
      <c r="W45" s="149" t="inlineStr">
        <is>
          <t>ПРОДАНО</t>
        </is>
      </c>
      <c r="X45" s="148" t="inlineStr">
        <is>
          <t>ЦЕНА:</t>
        </is>
      </c>
      <c r="Y45" s="149" t="inlineStr">
        <is>
          <t>ПРОДАНО</t>
        </is>
      </c>
      <c r="Z45" s="148" t="inlineStr">
        <is>
          <t>ЦЕНА:</t>
        </is>
      </c>
      <c r="AA45" s="149" t="inlineStr">
        <is>
          <t>ПРОДАНО</t>
        </is>
      </c>
      <c r="AB45" s="148" t="inlineStr">
        <is>
          <t>ЦЕНА:</t>
        </is>
      </c>
      <c r="AC45" s="149" t="inlineStr">
        <is>
          <t>ПРОДАНО</t>
        </is>
      </c>
      <c r="AD45" s="148" t="inlineStr">
        <is>
          <t>ЦЕНА:</t>
        </is>
      </c>
      <c r="AE45" s="149" t="inlineStr">
        <is>
          <t>ПРОДАНО</t>
        </is>
      </c>
      <c r="AF45" s="148" t="inlineStr">
        <is>
          <t>ЦЕНА:</t>
        </is>
      </c>
      <c r="AG45" s="149" t="inlineStr">
        <is>
          <t>ПРОДАНО</t>
        </is>
      </c>
      <c r="AH45" s="148" t="inlineStr">
        <is>
          <t>ЦЕНА:</t>
        </is>
      </c>
      <c r="AI45" s="155" t="inlineStr">
        <is>
          <t>ПРОДАНО</t>
        </is>
      </c>
      <c r="AJ45" s="225" t="n"/>
      <c r="AK45" s="193" t="n"/>
      <c r="AL45" s="148" t="inlineStr">
        <is>
          <t>ЦЕНА:</t>
        </is>
      </c>
      <c r="AM45" s="149" t="inlineStr">
        <is>
          <t>ПРОДАНО</t>
        </is>
      </c>
      <c r="AN45" s="148" t="inlineStr">
        <is>
          <t>ЦЕНА:</t>
        </is>
      </c>
      <c r="AO45" s="149" t="inlineStr">
        <is>
          <t>ПРОДАНО</t>
        </is>
      </c>
      <c r="AP45" s="148" t="inlineStr">
        <is>
          <t>ЦЕНА:</t>
        </is>
      </c>
      <c r="AQ45" s="149" t="inlineStr">
        <is>
          <t>ПРОДАНО</t>
        </is>
      </c>
      <c r="AR45" s="148" t="inlineStr">
        <is>
          <t>ЦЕНА:</t>
        </is>
      </c>
      <c r="AS45" s="149" t="inlineStr">
        <is>
          <t>ПРОДАНО</t>
        </is>
      </c>
      <c r="AT45" s="148" t="inlineStr">
        <is>
          <t>ЦЕНА:</t>
        </is>
      </c>
      <c r="AU45" s="149" t="inlineStr">
        <is>
          <t>ПРОДАНО</t>
        </is>
      </c>
      <c r="AV45" s="148" t="inlineStr">
        <is>
          <t>ЦЕНА:</t>
        </is>
      </c>
      <c r="AW45" s="149" t="inlineStr">
        <is>
          <t>ПРОДАНО</t>
        </is>
      </c>
      <c r="AX45" s="148" t="inlineStr">
        <is>
          <t>ЦЕНА:</t>
        </is>
      </c>
      <c r="AY45" s="149" t="inlineStr">
        <is>
          <t>ПРОДАНО</t>
        </is>
      </c>
      <c r="AZ45" s="148" t="inlineStr">
        <is>
          <t>ЦЕНА:</t>
        </is>
      </c>
      <c r="BA45" s="155" t="inlineStr">
        <is>
          <t>ПРОДАНО</t>
        </is>
      </c>
      <c r="BB45" s="225" t="n"/>
      <c r="BC45" s="193" t="n"/>
      <c r="BD45" s="94" t="n"/>
    </row>
    <row r="46" ht="15.75" customHeight="1" s="163">
      <c r="A46" s="94" t="n"/>
      <c r="B46" s="150" t="inlineStr">
        <is>
          <t>ПЛОЩАДЬ:</t>
        </is>
      </c>
      <c r="C46" s="151" t="n">
        <v>64</v>
      </c>
      <c r="D46" s="150" t="inlineStr">
        <is>
          <t>ПЛОЩАДЬ:</t>
        </is>
      </c>
      <c r="E46" s="151" t="n">
        <v>65</v>
      </c>
      <c r="F46" s="150" t="inlineStr">
        <is>
          <t>ПЛОЩАДЬ:</t>
        </is>
      </c>
      <c r="G46" s="151" t="n">
        <v>65</v>
      </c>
      <c r="H46" s="150" t="inlineStr">
        <is>
          <t>ПЛОЩАДЬ:</t>
        </is>
      </c>
      <c r="I46" s="151" t="n">
        <v>65</v>
      </c>
      <c r="J46" s="150" t="inlineStr">
        <is>
          <t>ПЛОЩАДЬ:</t>
        </is>
      </c>
      <c r="K46" s="151" t="n">
        <v>66</v>
      </c>
      <c r="L46" s="150" t="inlineStr">
        <is>
          <t>ПЛОЩАДЬ:</t>
        </is>
      </c>
      <c r="M46" s="151" t="n">
        <v>66</v>
      </c>
      <c r="N46" s="150" t="inlineStr">
        <is>
          <t>ПЛОЩАДЬ:</t>
        </is>
      </c>
      <c r="O46" s="151" t="n">
        <v>66</v>
      </c>
      <c r="P46" s="150" t="inlineStr">
        <is>
          <t>ПЛОЩАДЬ:</t>
        </is>
      </c>
      <c r="Q46" s="156" t="n">
        <v>67</v>
      </c>
      <c r="R46" s="225" t="n"/>
      <c r="S46" s="193" t="n"/>
      <c r="T46" s="150" t="inlineStr">
        <is>
          <t>ПЛОЩАДЬ:</t>
        </is>
      </c>
      <c r="U46" s="151" t="n">
        <v>65</v>
      </c>
      <c r="V46" s="150" t="inlineStr">
        <is>
          <t>ПЛОЩАДЬ:</t>
        </is>
      </c>
      <c r="W46" s="151" t="n">
        <v>66</v>
      </c>
      <c r="X46" s="150" t="inlineStr">
        <is>
          <t>ПЛОЩАДЬ:</t>
        </is>
      </c>
      <c r="Y46" s="151" t="n">
        <v>66</v>
      </c>
      <c r="Z46" s="150" t="inlineStr">
        <is>
          <t>ПЛОЩАДЬ:</t>
        </is>
      </c>
      <c r="AA46" s="151" t="n">
        <v>66</v>
      </c>
      <c r="AB46" s="150" t="inlineStr">
        <is>
          <t>ПЛОЩАДЬ:</t>
        </is>
      </c>
      <c r="AC46" s="151" t="n">
        <v>67</v>
      </c>
      <c r="AD46" s="150" t="inlineStr">
        <is>
          <t>ПЛОЩАДЬ:</t>
        </is>
      </c>
      <c r="AE46" s="151" t="n">
        <v>67</v>
      </c>
      <c r="AF46" s="150" t="inlineStr">
        <is>
          <t>ПЛОЩАДЬ:</t>
        </is>
      </c>
      <c r="AG46" s="151" t="n">
        <v>67</v>
      </c>
      <c r="AH46" s="150" t="inlineStr">
        <is>
          <t>ПЛОЩАДЬ:</t>
        </is>
      </c>
      <c r="AI46" s="156" t="n">
        <v>68</v>
      </c>
      <c r="AJ46" s="225" t="n"/>
      <c r="AK46" s="193" t="n"/>
      <c r="AL46" s="150" t="inlineStr">
        <is>
          <t>ПЛОЩАДЬ:</t>
        </is>
      </c>
      <c r="AM46" s="151" t="n">
        <v>66</v>
      </c>
      <c r="AN46" s="150" t="inlineStr">
        <is>
          <t>ПЛОЩАДЬ:</t>
        </is>
      </c>
      <c r="AO46" s="151" t="n">
        <v>67</v>
      </c>
      <c r="AP46" s="150" t="inlineStr">
        <is>
          <t>ПЛОЩАДЬ:</t>
        </is>
      </c>
      <c r="AQ46" s="151" t="n">
        <v>67</v>
      </c>
      <c r="AR46" s="150" t="inlineStr">
        <is>
          <t>ПЛОЩАДЬ:</t>
        </is>
      </c>
      <c r="AS46" s="151" t="n">
        <v>67</v>
      </c>
      <c r="AT46" s="150" t="inlineStr">
        <is>
          <t>ПЛОЩАДЬ:</t>
        </is>
      </c>
      <c r="AU46" s="151" t="n">
        <v>68</v>
      </c>
      <c r="AV46" s="150" t="inlineStr">
        <is>
          <t>ПЛОЩАДЬ:</t>
        </is>
      </c>
      <c r="AW46" s="151" t="n">
        <v>68</v>
      </c>
      <c r="AX46" s="150" t="inlineStr">
        <is>
          <t>ПЛОЩАДЬ:</t>
        </is>
      </c>
      <c r="AY46" s="151" t="n">
        <v>68</v>
      </c>
      <c r="AZ46" s="150" t="inlineStr">
        <is>
          <t>ПЛОЩАДЬ:</t>
        </is>
      </c>
      <c r="BA46" s="156" t="n">
        <v>69</v>
      </c>
      <c r="BB46" s="225" t="n"/>
      <c r="BC46" s="193" t="n"/>
      <c r="BD46" s="94" t="n"/>
    </row>
    <row r="47" ht="15.75" customHeight="1" s="163">
      <c r="A47" s="94" t="n"/>
      <c r="B47" s="146" t="inlineStr">
        <is>
          <t>№ 4</t>
        </is>
      </c>
      <c r="C47" s="147" t="inlineStr">
        <is>
          <t>Коммерция</t>
        </is>
      </c>
      <c r="D47" s="146" t="inlineStr">
        <is>
          <t>№ 5</t>
        </is>
      </c>
      <c r="E47" s="147" t="inlineStr">
        <is>
          <t>Коммерция</t>
        </is>
      </c>
      <c r="F47" s="146" t="inlineStr">
        <is>
          <t>№ 5</t>
        </is>
      </c>
      <c r="G47" s="147" t="inlineStr">
        <is>
          <t>Коммерция</t>
        </is>
      </c>
      <c r="H47" s="146" t="inlineStr">
        <is>
          <t>№ 5</t>
        </is>
      </c>
      <c r="I47" s="147" t="inlineStr">
        <is>
          <t>Коммерция</t>
        </is>
      </c>
      <c r="J47" s="146" t="inlineStr">
        <is>
          <t>№ 6</t>
        </is>
      </c>
      <c r="K47" s="147" t="inlineStr">
        <is>
          <t>Коммерция</t>
        </is>
      </c>
      <c r="L47" s="146" t="inlineStr">
        <is>
          <t>№ 6</t>
        </is>
      </c>
      <c r="M47" s="147" t="inlineStr">
        <is>
          <t>Коммерция</t>
        </is>
      </c>
      <c r="N47" s="146" t="inlineStr">
        <is>
          <t>№ 6</t>
        </is>
      </c>
      <c r="O47" s="147" t="inlineStr">
        <is>
          <t>Коммерция</t>
        </is>
      </c>
      <c r="P47" s="146" t="inlineStr">
        <is>
          <t>№ 7</t>
        </is>
      </c>
      <c r="Q47" s="154" t="inlineStr">
        <is>
          <t>Коммерция</t>
        </is>
      </c>
      <c r="R47" s="225" t="n"/>
      <c r="S47" s="193" t="n"/>
      <c r="T47" s="146" t="inlineStr">
        <is>
          <t>№ 5</t>
        </is>
      </c>
      <c r="U47" s="147" t="inlineStr">
        <is>
          <t>Коммерция</t>
        </is>
      </c>
      <c r="V47" s="146" t="inlineStr">
        <is>
          <t>№ 6</t>
        </is>
      </c>
      <c r="W47" s="147" t="inlineStr">
        <is>
          <t>Коммерция</t>
        </is>
      </c>
      <c r="X47" s="146" t="inlineStr">
        <is>
          <t>№ 6</t>
        </is>
      </c>
      <c r="Y47" s="147" t="inlineStr">
        <is>
          <t>Коммерция</t>
        </is>
      </c>
      <c r="Z47" s="146" t="inlineStr">
        <is>
          <t>№ 6</t>
        </is>
      </c>
      <c r="AA47" s="147" t="inlineStr">
        <is>
          <t>Коммерция</t>
        </is>
      </c>
      <c r="AB47" s="146" t="inlineStr">
        <is>
          <t>№ 7</t>
        </is>
      </c>
      <c r="AC47" s="147" t="inlineStr">
        <is>
          <t>Коммерция</t>
        </is>
      </c>
      <c r="AD47" s="146" t="inlineStr">
        <is>
          <t>№ 7</t>
        </is>
      </c>
      <c r="AE47" s="147" t="inlineStr">
        <is>
          <t>Коммерция</t>
        </is>
      </c>
      <c r="AF47" s="146" t="inlineStr">
        <is>
          <t>№ 7</t>
        </is>
      </c>
      <c r="AG47" s="147" t="inlineStr">
        <is>
          <t>Коммерция</t>
        </is>
      </c>
      <c r="AH47" s="146" t="inlineStr">
        <is>
          <t>№ 8</t>
        </is>
      </c>
      <c r="AI47" s="154" t="inlineStr">
        <is>
          <t>Коммерция</t>
        </is>
      </c>
      <c r="AJ47" s="225" t="n"/>
      <c r="AK47" s="193" t="n"/>
      <c r="AL47" s="146" t="inlineStr">
        <is>
          <t>№ 6</t>
        </is>
      </c>
      <c r="AM47" s="147" t="inlineStr">
        <is>
          <t>Коммерция</t>
        </is>
      </c>
      <c r="AN47" s="146" t="inlineStr">
        <is>
          <t>№ 7</t>
        </is>
      </c>
      <c r="AO47" s="147" t="inlineStr">
        <is>
          <t>Коммерция</t>
        </is>
      </c>
      <c r="AP47" s="146" t="inlineStr">
        <is>
          <t>№ 7</t>
        </is>
      </c>
      <c r="AQ47" s="147" t="inlineStr">
        <is>
          <t>Коммерция</t>
        </is>
      </c>
      <c r="AR47" s="146" t="inlineStr">
        <is>
          <t>№ 7</t>
        </is>
      </c>
      <c r="AS47" s="147" t="inlineStr">
        <is>
          <t>Коммерция</t>
        </is>
      </c>
      <c r="AT47" s="146" t="inlineStr">
        <is>
          <t>№ 8</t>
        </is>
      </c>
      <c r="AU47" s="147" t="inlineStr">
        <is>
          <t>Коммерция</t>
        </is>
      </c>
      <c r="AV47" s="146" t="inlineStr">
        <is>
          <t>№ 8</t>
        </is>
      </c>
      <c r="AW47" s="147" t="inlineStr">
        <is>
          <t>Коммерция</t>
        </is>
      </c>
      <c r="AX47" s="146" t="inlineStr">
        <is>
          <t>№ 8</t>
        </is>
      </c>
      <c r="AY47" s="147" t="inlineStr">
        <is>
          <t>Коммерция</t>
        </is>
      </c>
      <c r="AZ47" s="146" t="inlineStr">
        <is>
          <t>№ 9</t>
        </is>
      </c>
      <c r="BA47" s="154" t="inlineStr">
        <is>
          <t>Коммерция</t>
        </is>
      </c>
      <c r="BB47" s="225" t="n"/>
      <c r="BC47" s="193" t="n"/>
      <c r="BD47" s="94" t="n"/>
    </row>
    <row r="48" ht="15.75" customHeight="1" s="163">
      <c r="A48" s="94" t="n"/>
      <c r="B48" s="148" t="inlineStr">
        <is>
          <t>ЦЕНА:</t>
        </is>
      </c>
      <c r="C48" s="149" t="inlineStr">
        <is>
          <t>ПРОДАНО</t>
        </is>
      </c>
      <c r="D48" s="148" t="inlineStr">
        <is>
          <t>ЦЕНА:</t>
        </is>
      </c>
      <c r="E48" s="149" t="inlineStr">
        <is>
          <t>ПРОДАНО</t>
        </is>
      </c>
      <c r="F48" s="148" t="inlineStr">
        <is>
          <t>ЦЕНА:</t>
        </is>
      </c>
      <c r="G48" s="149" t="inlineStr">
        <is>
          <t>ПРОДАНО</t>
        </is>
      </c>
      <c r="H48" s="148" t="inlineStr">
        <is>
          <t>ЦЕНА:</t>
        </is>
      </c>
      <c r="I48" s="149" t="inlineStr">
        <is>
          <t>ПРОДАНО</t>
        </is>
      </c>
      <c r="J48" s="148" t="inlineStr">
        <is>
          <t>ЦЕНА:</t>
        </is>
      </c>
      <c r="K48" s="149" t="inlineStr">
        <is>
          <t>ПРОДАНО</t>
        </is>
      </c>
      <c r="L48" s="148" t="inlineStr">
        <is>
          <t>ЦЕНА:</t>
        </is>
      </c>
      <c r="M48" s="149" t="inlineStr">
        <is>
          <t>ПРОДАНО</t>
        </is>
      </c>
      <c r="N48" s="148" t="inlineStr">
        <is>
          <t>ЦЕНА:</t>
        </is>
      </c>
      <c r="O48" s="149" t="inlineStr">
        <is>
          <t>ПРОДАНО</t>
        </is>
      </c>
      <c r="P48" s="148" t="inlineStr">
        <is>
          <t>ЦЕНА:</t>
        </is>
      </c>
      <c r="Q48" s="155" t="inlineStr">
        <is>
          <t>ПРОДАНО</t>
        </is>
      </c>
      <c r="R48" s="225" t="n"/>
      <c r="S48" s="193" t="n"/>
      <c r="T48" s="148" t="inlineStr">
        <is>
          <t>ЦЕНА:</t>
        </is>
      </c>
      <c r="U48" s="149" t="inlineStr">
        <is>
          <t>ПРОДАНО</t>
        </is>
      </c>
      <c r="V48" s="148" t="inlineStr">
        <is>
          <t>ЦЕНА:</t>
        </is>
      </c>
      <c r="W48" s="149" t="inlineStr">
        <is>
          <t>ПРОДАНО</t>
        </is>
      </c>
      <c r="X48" s="148" t="inlineStr">
        <is>
          <t>ЦЕНА:</t>
        </is>
      </c>
      <c r="Y48" s="149" t="inlineStr">
        <is>
          <t>ПРОДАНО</t>
        </is>
      </c>
      <c r="Z48" s="148" t="inlineStr">
        <is>
          <t>ЦЕНА:</t>
        </is>
      </c>
      <c r="AA48" s="149" t="inlineStr">
        <is>
          <t>ПРОДАНО</t>
        </is>
      </c>
      <c r="AB48" s="148" t="inlineStr">
        <is>
          <t>ЦЕНА:</t>
        </is>
      </c>
      <c r="AC48" s="149" t="inlineStr">
        <is>
          <t>ПРОДАНО</t>
        </is>
      </c>
      <c r="AD48" s="148" t="inlineStr">
        <is>
          <t>ЦЕНА:</t>
        </is>
      </c>
      <c r="AE48" s="149" t="inlineStr">
        <is>
          <t>ПРОДАНО</t>
        </is>
      </c>
      <c r="AF48" s="148" t="inlineStr">
        <is>
          <t>ЦЕНА:</t>
        </is>
      </c>
      <c r="AG48" s="149" t="inlineStr">
        <is>
          <t>ПРОДАНО</t>
        </is>
      </c>
      <c r="AH48" s="148" t="inlineStr">
        <is>
          <t>ЦЕНА:</t>
        </is>
      </c>
      <c r="AI48" s="155" t="inlineStr">
        <is>
          <t>ПРОДАНО</t>
        </is>
      </c>
      <c r="AJ48" s="225" t="n"/>
      <c r="AK48" s="193" t="n"/>
      <c r="AL48" s="148" t="inlineStr">
        <is>
          <t>ЦЕНА:</t>
        </is>
      </c>
      <c r="AM48" s="149" t="inlineStr">
        <is>
          <t>ПРОДАНО</t>
        </is>
      </c>
      <c r="AN48" s="148" t="inlineStr">
        <is>
          <t>ЦЕНА:</t>
        </is>
      </c>
      <c r="AO48" s="149" t="inlineStr">
        <is>
          <t>ПРОДАНО</t>
        </is>
      </c>
      <c r="AP48" s="148" t="inlineStr">
        <is>
          <t>ЦЕНА:</t>
        </is>
      </c>
      <c r="AQ48" s="149" t="inlineStr">
        <is>
          <t>ПРОДАНО</t>
        </is>
      </c>
      <c r="AR48" s="148" t="inlineStr">
        <is>
          <t>ЦЕНА:</t>
        </is>
      </c>
      <c r="AS48" s="149" t="inlineStr">
        <is>
          <t>ПРОДАНО</t>
        </is>
      </c>
      <c r="AT48" s="148" t="inlineStr">
        <is>
          <t>ЦЕНА:</t>
        </is>
      </c>
      <c r="AU48" s="149" t="inlineStr">
        <is>
          <t>ПРОДАНО</t>
        </is>
      </c>
      <c r="AV48" s="148" t="inlineStr">
        <is>
          <t>ЦЕНА:</t>
        </is>
      </c>
      <c r="AW48" s="149" t="inlineStr">
        <is>
          <t>ПРОДАНО</t>
        </is>
      </c>
      <c r="AX48" s="148" t="inlineStr">
        <is>
          <t>ЦЕНА:</t>
        </is>
      </c>
      <c r="AY48" s="149" t="inlineStr">
        <is>
          <t>ПРОДАНО</t>
        </is>
      </c>
      <c r="AZ48" s="148" t="inlineStr">
        <is>
          <t>ЦЕНА:</t>
        </is>
      </c>
      <c r="BA48" s="155" t="inlineStr">
        <is>
          <t>ПРОДАНО</t>
        </is>
      </c>
      <c r="BB48" s="225" t="n"/>
      <c r="BC48" s="193" t="n"/>
      <c r="BD48" s="94" t="n"/>
    </row>
    <row r="49" ht="15.75" customHeight="1" s="163">
      <c r="A49" s="94" t="n"/>
      <c r="B49" s="150" t="inlineStr">
        <is>
          <t>ПЛОЩАДЬ:</t>
        </is>
      </c>
      <c r="C49" s="151" t="n">
        <v>65</v>
      </c>
      <c r="D49" s="150" t="inlineStr">
        <is>
          <t>ПЛОЩАДЬ:</t>
        </is>
      </c>
      <c r="E49" s="151" t="n">
        <v>66</v>
      </c>
      <c r="F49" s="150" t="inlineStr">
        <is>
          <t>ПЛОЩАДЬ:</t>
        </is>
      </c>
      <c r="G49" s="151" t="n">
        <v>66</v>
      </c>
      <c r="H49" s="150" t="inlineStr">
        <is>
          <t>ПЛОЩАДЬ:</t>
        </is>
      </c>
      <c r="I49" s="151" t="n">
        <v>66</v>
      </c>
      <c r="J49" s="150" t="inlineStr">
        <is>
          <t>ПЛОЩАДЬ:</t>
        </is>
      </c>
      <c r="K49" s="151" t="n">
        <v>67</v>
      </c>
      <c r="L49" s="150" t="inlineStr">
        <is>
          <t>ПЛОЩАДЬ:</t>
        </is>
      </c>
      <c r="M49" s="151" t="n">
        <v>67</v>
      </c>
      <c r="N49" s="150" t="inlineStr">
        <is>
          <t>ПЛОЩАДЬ:</t>
        </is>
      </c>
      <c r="O49" s="151" t="n">
        <v>67</v>
      </c>
      <c r="P49" s="150" t="inlineStr">
        <is>
          <t>ПЛОЩАДЬ:</t>
        </is>
      </c>
      <c r="Q49" s="156" t="n">
        <v>68</v>
      </c>
      <c r="R49" s="225" t="n"/>
      <c r="S49" s="193" t="n"/>
      <c r="T49" s="150" t="inlineStr">
        <is>
          <t>ПЛОЩАДЬ:</t>
        </is>
      </c>
      <c r="U49" s="151" t="n">
        <v>66</v>
      </c>
      <c r="V49" s="150" t="inlineStr">
        <is>
          <t>ПЛОЩАДЬ:</t>
        </is>
      </c>
      <c r="W49" s="151" t="n">
        <v>67</v>
      </c>
      <c r="X49" s="150" t="inlineStr">
        <is>
          <t>ПЛОЩАДЬ:</t>
        </is>
      </c>
      <c r="Y49" s="151" t="n">
        <v>67</v>
      </c>
      <c r="Z49" s="150" t="inlineStr">
        <is>
          <t>ПЛОЩАДЬ:</t>
        </is>
      </c>
      <c r="AA49" s="151" t="n">
        <v>67</v>
      </c>
      <c r="AB49" s="150" t="inlineStr">
        <is>
          <t>ПЛОЩАДЬ:</t>
        </is>
      </c>
      <c r="AC49" s="151" t="n">
        <v>68</v>
      </c>
      <c r="AD49" s="150" t="inlineStr">
        <is>
          <t>ПЛОЩАДЬ:</t>
        </is>
      </c>
      <c r="AE49" s="151" t="n">
        <v>68</v>
      </c>
      <c r="AF49" s="150" t="inlineStr">
        <is>
          <t>ПЛОЩАДЬ:</t>
        </is>
      </c>
      <c r="AG49" s="151" t="n">
        <v>68</v>
      </c>
      <c r="AH49" s="150" t="inlineStr">
        <is>
          <t>ПЛОЩАДЬ:</t>
        </is>
      </c>
      <c r="AI49" s="156" t="n">
        <v>69</v>
      </c>
      <c r="AJ49" s="225" t="n"/>
      <c r="AK49" s="193" t="n"/>
      <c r="AL49" s="150" t="inlineStr">
        <is>
          <t>ПЛОЩАДЬ:</t>
        </is>
      </c>
      <c r="AM49" s="151" t="n">
        <v>67</v>
      </c>
      <c r="AN49" s="150" t="inlineStr">
        <is>
          <t>ПЛОЩАДЬ:</t>
        </is>
      </c>
      <c r="AO49" s="151" t="n">
        <v>68</v>
      </c>
      <c r="AP49" s="150" t="inlineStr">
        <is>
          <t>ПЛОЩАДЬ:</t>
        </is>
      </c>
      <c r="AQ49" s="151" t="n">
        <v>68</v>
      </c>
      <c r="AR49" s="150" t="inlineStr">
        <is>
          <t>ПЛОЩАДЬ:</t>
        </is>
      </c>
      <c r="AS49" s="151" t="n">
        <v>68</v>
      </c>
      <c r="AT49" s="150" t="inlineStr">
        <is>
          <t>ПЛОЩАДЬ:</t>
        </is>
      </c>
      <c r="AU49" s="151" t="n">
        <v>69</v>
      </c>
      <c r="AV49" s="150" t="inlineStr">
        <is>
          <t>ПЛОЩАДЬ:</t>
        </is>
      </c>
      <c r="AW49" s="151" t="n">
        <v>69</v>
      </c>
      <c r="AX49" s="150" t="inlineStr">
        <is>
          <t>ПЛОЩАДЬ:</t>
        </is>
      </c>
      <c r="AY49" s="151" t="n">
        <v>69</v>
      </c>
      <c r="AZ49" s="150" t="inlineStr">
        <is>
          <t>ПЛОЩАДЬ:</t>
        </is>
      </c>
      <c r="BA49" s="156" t="n">
        <v>70</v>
      </c>
      <c r="BB49" s="225" t="n"/>
      <c r="BC49" s="193" t="n"/>
      <c r="BD49" s="94" t="n"/>
    </row>
    <row r="50" ht="15.75" customHeight="1" s="163">
      <c r="A50" s="94" t="n"/>
      <c r="B50" s="222" t="inlineStr">
        <is>
          <t>Дивноморская</t>
        </is>
      </c>
      <c r="C50" s="223" t="n"/>
      <c r="D50" s="223" t="n"/>
      <c r="E50" s="223" t="n"/>
      <c r="F50" s="223" t="n"/>
      <c r="G50" s="223" t="n"/>
      <c r="H50" s="223" t="n"/>
      <c r="I50" s="223" t="n"/>
      <c r="J50" s="223" t="n"/>
      <c r="K50" s="223" t="n"/>
      <c r="L50" s="223" t="n"/>
      <c r="M50" s="223" t="n"/>
      <c r="N50" s="223" t="n"/>
      <c r="O50" s="223" t="n"/>
      <c r="P50" s="223" t="n"/>
      <c r="Q50" s="182" t="n"/>
      <c r="R50" s="225" t="n"/>
      <c r="S50" s="193" t="n"/>
      <c r="T50" s="222" t="inlineStr">
        <is>
          <t>Дивноморская</t>
        </is>
      </c>
      <c r="U50" s="223" t="n"/>
      <c r="V50" s="223" t="n"/>
      <c r="W50" s="223" t="n"/>
      <c r="X50" s="223" t="n"/>
      <c r="Y50" s="223" t="n"/>
      <c r="Z50" s="223" t="n"/>
      <c r="AA50" s="223" t="n"/>
      <c r="AB50" s="223" t="n"/>
      <c r="AC50" s="223" t="n"/>
      <c r="AD50" s="223" t="n"/>
      <c r="AE50" s="223" t="n"/>
      <c r="AF50" s="223" t="n"/>
      <c r="AG50" s="223" t="n"/>
      <c r="AH50" s="223" t="n"/>
      <c r="AI50" s="182" t="n"/>
      <c r="AJ50" s="225" t="n"/>
      <c r="AK50" s="193" t="n"/>
      <c r="AL50" s="222" t="inlineStr">
        <is>
          <t>Дивноморская</t>
        </is>
      </c>
      <c r="AM50" s="223" t="n"/>
      <c r="AN50" s="223" t="n"/>
      <c r="AO50" s="223" t="n"/>
      <c r="AP50" s="223" t="n"/>
      <c r="AQ50" s="223" t="n"/>
      <c r="AR50" s="223" t="n"/>
      <c r="AS50" s="223" t="n"/>
      <c r="AT50" s="223" t="n"/>
      <c r="AU50" s="223" t="n"/>
      <c r="AV50" s="223" t="n"/>
      <c r="AW50" s="223" t="n"/>
      <c r="AX50" s="223" t="n"/>
      <c r="AY50" s="223" t="n"/>
      <c r="AZ50" s="223" t="n"/>
      <c r="BA50" s="182" t="n"/>
      <c r="BB50" s="225" t="n"/>
      <c r="BC50" s="193" t="n"/>
      <c r="BD50" s="94" t="n"/>
    </row>
    <row r="51" ht="15.75" customHeight="1" s="163">
      <c r="A51" s="94" t="n"/>
      <c r="B51" s="186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85" t="n"/>
      <c r="R51" s="225" t="n"/>
      <c r="S51" s="193" t="n"/>
      <c r="T51" s="186" t="n"/>
      <c r="U51" s="198" t="n"/>
      <c r="V51" s="198" t="n"/>
      <c r="W51" s="198" t="n"/>
      <c r="X51" s="198" t="n"/>
      <c r="Y51" s="198" t="n"/>
      <c r="Z51" s="198" t="n"/>
      <c r="AA51" s="198" t="n"/>
      <c r="AB51" s="198" t="n"/>
      <c r="AC51" s="198" t="n"/>
      <c r="AD51" s="198" t="n"/>
      <c r="AE51" s="198" t="n"/>
      <c r="AF51" s="198" t="n"/>
      <c r="AG51" s="198" t="n"/>
      <c r="AH51" s="198" t="n"/>
      <c r="AI51" s="185" t="n"/>
      <c r="AJ51" s="225" t="n"/>
      <c r="AK51" s="193" t="n"/>
      <c r="AL51" s="186" t="n"/>
      <c r="AM51" s="198" t="n"/>
      <c r="AN51" s="198" t="n"/>
      <c r="AO51" s="198" t="n"/>
      <c r="AP51" s="198" t="n"/>
      <c r="AQ51" s="198" t="n"/>
      <c r="AR51" s="198" t="n"/>
      <c r="AS51" s="198" t="n"/>
      <c r="AT51" s="198" t="n"/>
      <c r="AU51" s="198" t="n"/>
      <c r="AV51" s="198" t="n"/>
      <c r="AW51" s="198" t="n"/>
      <c r="AX51" s="198" t="n"/>
      <c r="AY51" s="198" t="n"/>
      <c r="AZ51" s="198" t="n"/>
      <c r="BA51" s="185" t="n"/>
      <c r="BB51" s="225" t="n"/>
      <c r="BC51" s="193" t="n"/>
      <c r="BD51" s="94" t="n"/>
    </row>
    <row r="52" ht="15.75" customHeight="1" s="163">
      <c r="A52" s="94" t="n"/>
      <c r="B52" s="146" t="inlineStr">
        <is>
          <t>№ 4</t>
        </is>
      </c>
      <c r="C52" s="147" t="inlineStr">
        <is>
          <t>Коммерция</t>
        </is>
      </c>
      <c r="D52" s="146" t="inlineStr">
        <is>
          <t>№ 5</t>
        </is>
      </c>
      <c r="E52" s="147" t="inlineStr">
        <is>
          <t>Коммерция</t>
        </is>
      </c>
      <c r="F52" s="146" t="inlineStr">
        <is>
          <t>№ 5</t>
        </is>
      </c>
      <c r="G52" s="147" t="inlineStr">
        <is>
          <t>Коммерция</t>
        </is>
      </c>
      <c r="H52" s="146" t="inlineStr">
        <is>
          <t>№ 5</t>
        </is>
      </c>
      <c r="I52" s="147" t="inlineStr">
        <is>
          <t>Коммерция</t>
        </is>
      </c>
      <c r="J52" s="146" t="inlineStr">
        <is>
          <t>№ 6</t>
        </is>
      </c>
      <c r="K52" s="147" t="inlineStr">
        <is>
          <t>Коммерция</t>
        </is>
      </c>
      <c r="L52" s="146" t="inlineStr">
        <is>
          <t>№ 6</t>
        </is>
      </c>
      <c r="M52" s="147" t="inlineStr">
        <is>
          <t>Коммерция</t>
        </is>
      </c>
      <c r="N52" s="146" t="inlineStr">
        <is>
          <t>№ 6</t>
        </is>
      </c>
      <c r="O52" s="147" t="inlineStr">
        <is>
          <t>Коммерция</t>
        </is>
      </c>
      <c r="P52" s="146" t="inlineStr">
        <is>
          <t>№ 7</t>
        </is>
      </c>
      <c r="Q52" s="154" t="inlineStr">
        <is>
          <t>Коммерция</t>
        </is>
      </c>
      <c r="R52" s="225" t="n"/>
      <c r="S52" s="193" t="n"/>
      <c r="T52" s="146" t="inlineStr">
        <is>
          <t>№ 5</t>
        </is>
      </c>
      <c r="U52" s="147" t="inlineStr">
        <is>
          <t>Коммерция</t>
        </is>
      </c>
      <c r="V52" s="146" t="inlineStr">
        <is>
          <t>№ 6</t>
        </is>
      </c>
      <c r="W52" s="147" t="inlineStr">
        <is>
          <t>Коммерция</t>
        </is>
      </c>
      <c r="X52" s="146" t="inlineStr">
        <is>
          <t>№ 6</t>
        </is>
      </c>
      <c r="Y52" s="147" t="inlineStr">
        <is>
          <t>Коммерция</t>
        </is>
      </c>
      <c r="Z52" s="146" t="inlineStr">
        <is>
          <t>№ 6</t>
        </is>
      </c>
      <c r="AA52" s="147" t="inlineStr">
        <is>
          <t>Коммерция</t>
        </is>
      </c>
      <c r="AB52" s="146" t="inlineStr">
        <is>
          <t>№ 7</t>
        </is>
      </c>
      <c r="AC52" s="147" t="inlineStr">
        <is>
          <t>Коммерция</t>
        </is>
      </c>
      <c r="AD52" s="146" t="inlineStr">
        <is>
          <t>№ 7</t>
        </is>
      </c>
      <c r="AE52" s="147" t="inlineStr">
        <is>
          <t>Коммерция</t>
        </is>
      </c>
      <c r="AF52" s="146" t="inlineStr">
        <is>
          <t>№ 7</t>
        </is>
      </c>
      <c r="AG52" s="147" t="inlineStr">
        <is>
          <t>Коммерция</t>
        </is>
      </c>
      <c r="AH52" s="146" t="inlineStr">
        <is>
          <t>№ 8</t>
        </is>
      </c>
      <c r="AI52" s="154" t="inlineStr">
        <is>
          <t>Коммерция</t>
        </is>
      </c>
      <c r="AJ52" s="225" t="n"/>
      <c r="AK52" s="193" t="n"/>
      <c r="AL52" s="146" t="inlineStr">
        <is>
          <t>№ 6</t>
        </is>
      </c>
      <c r="AM52" s="147" t="inlineStr">
        <is>
          <t>Коммерция</t>
        </is>
      </c>
      <c r="AN52" s="146" t="inlineStr">
        <is>
          <t>№ 7</t>
        </is>
      </c>
      <c r="AO52" s="147" t="inlineStr">
        <is>
          <t>Коммерция</t>
        </is>
      </c>
      <c r="AP52" s="146" t="inlineStr">
        <is>
          <t>№ 7</t>
        </is>
      </c>
      <c r="AQ52" s="147" t="inlineStr">
        <is>
          <t>Коммерция</t>
        </is>
      </c>
      <c r="AR52" s="146" t="inlineStr">
        <is>
          <t>№ 7</t>
        </is>
      </c>
      <c r="AS52" s="147" t="inlineStr">
        <is>
          <t>Коммерция</t>
        </is>
      </c>
      <c r="AT52" s="146" t="inlineStr">
        <is>
          <t>№ 8</t>
        </is>
      </c>
      <c r="AU52" s="147" t="inlineStr">
        <is>
          <t>Коммерция</t>
        </is>
      </c>
      <c r="AV52" s="146" t="inlineStr">
        <is>
          <t>№ 8</t>
        </is>
      </c>
      <c r="AW52" s="147" t="inlineStr">
        <is>
          <t>Коммерция</t>
        </is>
      </c>
      <c r="AX52" s="146" t="inlineStr">
        <is>
          <t>№ 8</t>
        </is>
      </c>
      <c r="AY52" s="147" t="inlineStr">
        <is>
          <t>Коммерция</t>
        </is>
      </c>
      <c r="AZ52" s="146" t="inlineStr">
        <is>
          <t>№ 9</t>
        </is>
      </c>
      <c r="BA52" s="154" t="inlineStr">
        <is>
          <t>Коммерция</t>
        </is>
      </c>
      <c r="BB52" s="225" t="n"/>
      <c r="BC52" s="193" t="n"/>
      <c r="BD52" s="94" t="n"/>
    </row>
    <row r="53" ht="15.75" customHeight="1" s="163">
      <c r="A53" s="94" t="n"/>
      <c r="B53" s="148" t="inlineStr">
        <is>
          <t>ЦЕНА:</t>
        </is>
      </c>
      <c r="C53" s="149" t="inlineStr">
        <is>
          <t>ПРОДАНО</t>
        </is>
      </c>
      <c r="D53" s="148" t="inlineStr">
        <is>
          <t>ЦЕНА:</t>
        </is>
      </c>
      <c r="E53" s="149" t="inlineStr">
        <is>
          <t>ПРОДАНО</t>
        </is>
      </c>
      <c r="F53" s="148" t="inlineStr">
        <is>
          <t>ЦЕНА:</t>
        </is>
      </c>
      <c r="G53" s="149" t="inlineStr">
        <is>
          <t>ПРОДАНО</t>
        </is>
      </c>
      <c r="H53" s="148" t="inlineStr">
        <is>
          <t>ЦЕНА:</t>
        </is>
      </c>
      <c r="I53" s="149" t="inlineStr">
        <is>
          <t>ПРОДАНО</t>
        </is>
      </c>
      <c r="J53" s="148" t="inlineStr">
        <is>
          <t>ЦЕНА:</t>
        </is>
      </c>
      <c r="K53" s="149" t="inlineStr">
        <is>
          <t>ПРОДАНО</t>
        </is>
      </c>
      <c r="L53" s="148" t="inlineStr">
        <is>
          <t>ЦЕНА:</t>
        </is>
      </c>
      <c r="M53" s="149" t="inlineStr">
        <is>
          <t>ПРОДАНО</t>
        </is>
      </c>
      <c r="N53" s="148" t="inlineStr">
        <is>
          <t>ЦЕНА:</t>
        </is>
      </c>
      <c r="O53" s="149" t="inlineStr">
        <is>
          <t>ПРОДАНО</t>
        </is>
      </c>
      <c r="P53" s="148" t="inlineStr">
        <is>
          <t>ЦЕНА:</t>
        </is>
      </c>
      <c r="Q53" s="155" t="inlineStr">
        <is>
          <t>ПРОДАНО</t>
        </is>
      </c>
      <c r="R53" s="225" t="n"/>
      <c r="S53" s="193" t="n"/>
      <c r="T53" s="148" t="inlineStr">
        <is>
          <t>ЦЕНА:</t>
        </is>
      </c>
      <c r="U53" s="149" t="inlineStr">
        <is>
          <t>ПРОДАНО</t>
        </is>
      </c>
      <c r="V53" s="148" t="inlineStr">
        <is>
          <t>ЦЕНА:</t>
        </is>
      </c>
      <c r="W53" s="149" t="inlineStr">
        <is>
          <t>ПРОДАНО</t>
        </is>
      </c>
      <c r="X53" s="148" t="inlineStr">
        <is>
          <t>ЦЕНА:</t>
        </is>
      </c>
      <c r="Y53" s="149" t="inlineStr">
        <is>
          <t>ПРОДАНО</t>
        </is>
      </c>
      <c r="Z53" s="148" t="inlineStr">
        <is>
          <t>ЦЕНА:</t>
        </is>
      </c>
      <c r="AA53" s="149" t="inlineStr">
        <is>
          <t>ПРОДАНО</t>
        </is>
      </c>
      <c r="AB53" s="148" t="inlineStr">
        <is>
          <t>ЦЕНА:</t>
        </is>
      </c>
      <c r="AC53" s="149" t="inlineStr">
        <is>
          <t>ПРОДАНО</t>
        </is>
      </c>
      <c r="AD53" s="148" t="inlineStr">
        <is>
          <t>ЦЕНА:</t>
        </is>
      </c>
      <c r="AE53" s="149" t="inlineStr">
        <is>
          <t>ПРОДАНО</t>
        </is>
      </c>
      <c r="AF53" s="148" t="inlineStr">
        <is>
          <t>ЦЕНА:</t>
        </is>
      </c>
      <c r="AG53" s="149" t="inlineStr">
        <is>
          <t>ПРОДАНО</t>
        </is>
      </c>
      <c r="AH53" s="148" t="inlineStr">
        <is>
          <t>ЦЕНА:</t>
        </is>
      </c>
      <c r="AI53" s="155" t="inlineStr">
        <is>
          <t>ПРОДАНО</t>
        </is>
      </c>
      <c r="AJ53" s="225" t="n"/>
      <c r="AK53" s="193" t="n"/>
      <c r="AL53" s="148" t="inlineStr">
        <is>
          <t>ЦЕНА:</t>
        </is>
      </c>
      <c r="AM53" s="149" t="inlineStr">
        <is>
          <t>ПРОДАНО</t>
        </is>
      </c>
      <c r="AN53" s="148" t="inlineStr">
        <is>
          <t>ЦЕНА:</t>
        </is>
      </c>
      <c r="AO53" s="149" t="inlineStr">
        <is>
          <t>ПРОДАНО</t>
        </is>
      </c>
      <c r="AP53" s="148" t="inlineStr">
        <is>
          <t>ЦЕНА:</t>
        </is>
      </c>
      <c r="AQ53" s="149" t="inlineStr">
        <is>
          <t>ПРОДАНО</t>
        </is>
      </c>
      <c r="AR53" s="148" t="inlineStr">
        <is>
          <t>ЦЕНА:</t>
        </is>
      </c>
      <c r="AS53" s="149" t="inlineStr">
        <is>
          <t>ПРОДАНО</t>
        </is>
      </c>
      <c r="AT53" s="148" t="inlineStr">
        <is>
          <t>ЦЕНА:</t>
        </is>
      </c>
      <c r="AU53" s="149" t="inlineStr">
        <is>
          <t>ПРОДАНО</t>
        </is>
      </c>
      <c r="AV53" s="148" t="inlineStr">
        <is>
          <t>ЦЕНА:</t>
        </is>
      </c>
      <c r="AW53" s="149" t="inlineStr">
        <is>
          <t>ПРОДАНО</t>
        </is>
      </c>
      <c r="AX53" s="148" t="inlineStr">
        <is>
          <t>ЦЕНА:</t>
        </is>
      </c>
      <c r="AY53" s="149" t="inlineStr">
        <is>
          <t>ПРОДАНО</t>
        </is>
      </c>
      <c r="AZ53" s="148" t="inlineStr">
        <is>
          <t>ЦЕНА:</t>
        </is>
      </c>
      <c r="BA53" s="155" t="inlineStr">
        <is>
          <t>ПРОДАНО</t>
        </is>
      </c>
      <c r="BB53" s="225" t="n"/>
      <c r="BC53" s="193" t="n"/>
      <c r="BD53" s="94" t="n"/>
    </row>
    <row r="54" ht="15.75" customHeight="1" s="163">
      <c r="A54" s="94" t="n"/>
      <c r="B54" s="150" t="inlineStr">
        <is>
          <t>ПЛОЩАДЬ:</t>
        </is>
      </c>
      <c r="C54" s="151" t="n">
        <v>65</v>
      </c>
      <c r="D54" s="150" t="inlineStr">
        <is>
          <t>ПЛОЩАДЬ:</t>
        </is>
      </c>
      <c r="E54" s="151" t="n">
        <v>66</v>
      </c>
      <c r="F54" s="150" t="inlineStr">
        <is>
          <t>ПЛОЩАДЬ:</t>
        </is>
      </c>
      <c r="G54" s="151" t="n">
        <v>66</v>
      </c>
      <c r="H54" s="150" t="inlineStr">
        <is>
          <t>ПЛОЩАДЬ:</t>
        </is>
      </c>
      <c r="I54" s="151" t="n">
        <v>66</v>
      </c>
      <c r="J54" s="150" t="inlineStr">
        <is>
          <t>ПЛОЩАДЬ:</t>
        </is>
      </c>
      <c r="K54" s="151" t="n">
        <v>67</v>
      </c>
      <c r="L54" s="150" t="inlineStr">
        <is>
          <t>ПЛОЩАДЬ:</t>
        </is>
      </c>
      <c r="M54" s="151" t="n">
        <v>67</v>
      </c>
      <c r="N54" s="150" t="inlineStr">
        <is>
          <t>ПЛОЩАДЬ:</t>
        </is>
      </c>
      <c r="O54" s="151" t="n">
        <v>67</v>
      </c>
      <c r="P54" s="150" t="inlineStr">
        <is>
          <t>ПЛОЩАДЬ:</t>
        </is>
      </c>
      <c r="Q54" s="156" t="n">
        <v>68</v>
      </c>
      <c r="R54" s="225" t="n"/>
      <c r="S54" s="193" t="n"/>
      <c r="T54" s="150" t="inlineStr">
        <is>
          <t>ПЛОЩАДЬ:</t>
        </is>
      </c>
      <c r="U54" s="151" t="n">
        <v>66</v>
      </c>
      <c r="V54" s="150" t="inlineStr">
        <is>
          <t>ПЛОЩАДЬ:</t>
        </is>
      </c>
      <c r="W54" s="151" t="n">
        <v>67</v>
      </c>
      <c r="X54" s="150" t="inlineStr">
        <is>
          <t>ПЛОЩАДЬ:</t>
        </is>
      </c>
      <c r="Y54" s="151" t="n">
        <v>67</v>
      </c>
      <c r="Z54" s="150" t="inlineStr">
        <is>
          <t>ПЛОЩАДЬ:</t>
        </is>
      </c>
      <c r="AA54" s="151" t="n">
        <v>67</v>
      </c>
      <c r="AB54" s="150" t="inlineStr">
        <is>
          <t>ПЛОЩАДЬ:</t>
        </is>
      </c>
      <c r="AC54" s="151" t="n">
        <v>68</v>
      </c>
      <c r="AD54" s="150" t="inlineStr">
        <is>
          <t>ПЛОЩАДЬ:</t>
        </is>
      </c>
      <c r="AE54" s="151" t="n">
        <v>68</v>
      </c>
      <c r="AF54" s="150" t="inlineStr">
        <is>
          <t>ПЛОЩАДЬ:</t>
        </is>
      </c>
      <c r="AG54" s="151" t="n">
        <v>68</v>
      </c>
      <c r="AH54" s="150" t="inlineStr">
        <is>
          <t>ПЛОЩАДЬ:</t>
        </is>
      </c>
      <c r="AI54" s="156" t="n">
        <v>69</v>
      </c>
      <c r="AJ54" s="225" t="n"/>
      <c r="AK54" s="193" t="n"/>
      <c r="AL54" s="150" t="inlineStr">
        <is>
          <t>ПЛОЩАДЬ:</t>
        </is>
      </c>
      <c r="AM54" s="151" t="n">
        <v>67</v>
      </c>
      <c r="AN54" s="150" t="inlineStr">
        <is>
          <t>ПЛОЩАДЬ:</t>
        </is>
      </c>
      <c r="AO54" s="151" t="n">
        <v>68</v>
      </c>
      <c r="AP54" s="150" t="inlineStr">
        <is>
          <t>ПЛОЩАДЬ:</t>
        </is>
      </c>
      <c r="AQ54" s="151" t="n">
        <v>68</v>
      </c>
      <c r="AR54" s="150" t="inlineStr">
        <is>
          <t>ПЛОЩАДЬ:</t>
        </is>
      </c>
      <c r="AS54" s="151" t="n">
        <v>68</v>
      </c>
      <c r="AT54" s="150" t="inlineStr">
        <is>
          <t>ПЛОЩАДЬ:</t>
        </is>
      </c>
      <c r="AU54" s="151" t="n">
        <v>69</v>
      </c>
      <c r="AV54" s="150" t="inlineStr">
        <is>
          <t>ПЛОЩАДЬ:</t>
        </is>
      </c>
      <c r="AW54" s="151" t="n">
        <v>69</v>
      </c>
      <c r="AX54" s="150" t="inlineStr">
        <is>
          <t>ПЛОЩАДЬ:</t>
        </is>
      </c>
      <c r="AY54" s="151" t="n">
        <v>69</v>
      </c>
      <c r="AZ54" s="150" t="inlineStr">
        <is>
          <t>ПЛОЩАДЬ:</t>
        </is>
      </c>
      <c r="BA54" s="156" t="n">
        <v>70</v>
      </c>
      <c r="BB54" s="225" t="n"/>
      <c r="BC54" s="193" t="n"/>
      <c r="BD54" s="94" t="n"/>
    </row>
    <row r="55" ht="15.75" customHeight="1" s="163">
      <c r="A55" s="94" t="n"/>
      <c r="B55" s="146" t="inlineStr">
        <is>
          <t>№ 5</t>
        </is>
      </c>
      <c r="C55" s="147" t="inlineStr">
        <is>
          <t>Коммерция</t>
        </is>
      </c>
      <c r="D55" s="146" t="inlineStr">
        <is>
          <t>№ 6</t>
        </is>
      </c>
      <c r="E55" s="147" t="inlineStr">
        <is>
          <t>Коммерция</t>
        </is>
      </c>
      <c r="F55" s="146" t="inlineStr">
        <is>
          <t>№ 6</t>
        </is>
      </c>
      <c r="G55" s="147" t="inlineStr">
        <is>
          <t>Коммерция</t>
        </is>
      </c>
      <c r="H55" s="146" t="inlineStr">
        <is>
          <t>№ 6</t>
        </is>
      </c>
      <c r="I55" s="147" t="inlineStr">
        <is>
          <t>Коммерция</t>
        </is>
      </c>
      <c r="J55" s="146" t="inlineStr">
        <is>
          <t>№ 7</t>
        </is>
      </c>
      <c r="K55" s="147" t="inlineStr">
        <is>
          <t>Коммерция</t>
        </is>
      </c>
      <c r="L55" s="146" t="inlineStr">
        <is>
          <t>№ 7</t>
        </is>
      </c>
      <c r="M55" s="147" t="inlineStr">
        <is>
          <t>Коммерция</t>
        </is>
      </c>
      <c r="N55" s="146" t="inlineStr">
        <is>
          <t>№ 7</t>
        </is>
      </c>
      <c r="O55" s="147" t="inlineStr">
        <is>
          <t>Коммерция</t>
        </is>
      </c>
      <c r="P55" s="146" t="inlineStr">
        <is>
          <t>№ 8</t>
        </is>
      </c>
      <c r="Q55" s="154" t="inlineStr">
        <is>
          <t>Коммерция</t>
        </is>
      </c>
      <c r="R55" s="225" t="n"/>
      <c r="S55" s="193" t="n"/>
      <c r="T55" s="146" t="inlineStr">
        <is>
          <t>№ 6</t>
        </is>
      </c>
      <c r="U55" s="147" t="inlineStr">
        <is>
          <t>Коммерция</t>
        </is>
      </c>
      <c r="V55" s="146" t="inlineStr">
        <is>
          <t>№ 7</t>
        </is>
      </c>
      <c r="W55" s="147" t="inlineStr">
        <is>
          <t>Коммерция</t>
        </is>
      </c>
      <c r="X55" s="146" t="inlineStr">
        <is>
          <t>№ 7</t>
        </is>
      </c>
      <c r="Y55" s="147" t="inlineStr">
        <is>
          <t>Коммерция</t>
        </is>
      </c>
      <c r="Z55" s="146" t="inlineStr">
        <is>
          <t>№ 7</t>
        </is>
      </c>
      <c r="AA55" s="147" t="inlineStr">
        <is>
          <t>Коммерция</t>
        </is>
      </c>
      <c r="AB55" s="146" t="inlineStr">
        <is>
          <t>№ 8</t>
        </is>
      </c>
      <c r="AC55" s="147" t="inlineStr">
        <is>
          <t>Коммерция</t>
        </is>
      </c>
      <c r="AD55" s="146" t="inlineStr">
        <is>
          <t>№ 8</t>
        </is>
      </c>
      <c r="AE55" s="147" t="inlineStr">
        <is>
          <t>Коммерция</t>
        </is>
      </c>
      <c r="AF55" s="146" t="inlineStr">
        <is>
          <t>№ 8</t>
        </is>
      </c>
      <c r="AG55" s="147" t="inlineStr">
        <is>
          <t>Коммерция</t>
        </is>
      </c>
      <c r="AH55" s="146" t="inlineStr">
        <is>
          <t>№ 9</t>
        </is>
      </c>
      <c r="AI55" s="154" t="inlineStr">
        <is>
          <t>Коммерция</t>
        </is>
      </c>
      <c r="AJ55" s="225" t="n"/>
      <c r="AK55" s="193" t="n"/>
      <c r="AL55" s="146" t="inlineStr">
        <is>
          <t>№ 7</t>
        </is>
      </c>
      <c r="AM55" s="147" t="inlineStr">
        <is>
          <t>Коммерция</t>
        </is>
      </c>
      <c r="AN55" s="146" t="inlineStr">
        <is>
          <t>№ 8</t>
        </is>
      </c>
      <c r="AO55" s="147" t="inlineStr">
        <is>
          <t>Коммерция</t>
        </is>
      </c>
      <c r="AP55" s="146" t="inlineStr">
        <is>
          <t>№ 8</t>
        </is>
      </c>
      <c r="AQ55" s="147" t="inlineStr">
        <is>
          <t>Коммерция</t>
        </is>
      </c>
      <c r="AR55" s="146" t="inlineStr">
        <is>
          <t>№ 8</t>
        </is>
      </c>
      <c r="AS55" s="147" t="inlineStr">
        <is>
          <t>Коммерция</t>
        </is>
      </c>
      <c r="AT55" s="146" t="inlineStr">
        <is>
          <t>№ 9</t>
        </is>
      </c>
      <c r="AU55" s="147" t="inlineStr">
        <is>
          <t>Коммерция</t>
        </is>
      </c>
      <c r="AV55" s="146" t="inlineStr">
        <is>
          <t>№ 9</t>
        </is>
      </c>
      <c r="AW55" s="147" t="inlineStr">
        <is>
          <t>Коммерция</t>
        </is>
      </c>
      <c r="AX55" s="146" t="inlineStr">
        <is>
          <t>№ 9</t>
        </is>
      </c>
      <c r="AY55" s="147" t="inlineStr">
        <is>
          <t>Коммерция</t>
        </is>
      </c>
      <c r="AZ55" s="146" t="inlineStr">
        <is>
          <t>№ 10</t>
        </is>
      </c>
      <c r="BA55" s="154" t="inlineStr">
        <is>
          <t>Коммерция</t>
        </is>
      </c>
      <c r="BB55" s="225" t="n"/>
      <c r="BC55" s="193" t="n"/>
      <c r="BD55" s="94" t="n"/>
    </row>
    <row r="56" ht="15.75" customHeight="1" s="163">
      <c r="A56" s="94" t="n"/>
      <c r="B56" s="148" t="inlineStr">
        <is>
          <t>ЦЕНА:</t>
        </is>
      </c>
      <c r="C56" s="149" t="inlineStr">
        <is>
          <t>ПРОДАНО</t>
        </is>
      </c>
      <c r="D56" s="148" t="inlineStr">
        <is>
          <t>ЦЕНА:</t>
        </is>
      </c>
      <c r="E56" s="149" t="inlineStr">
        <is>
          <t>ПРОДАНО</t>
        </is>
      </c>
      <c r="F56" s="148" t="inlineStr">
        <is>
          <t>ЦЕНА:</t>
        </is>
      </c>
      <c r="G56" s="149" t="inlineStr">
        <is>
          <t>ПРОДАНО</t>
        </is>
      </c>
      <c r="H56" s="148" t="inlineStr">
        <is>
          <t>ЦЕНА:</t>
        </is>
      </c>
      <c r="I56" s="149" t="inlineStr">
        <is>
          <t>ПРОДАНО</t>
        </is>
      </c>
      <c r="J56" s="148" t="inlineStr">
        <is>
          <t>ЦЕНА:</t>
        </is>
      </c>
      <c r="K56" s="149" t="inlineStr">
        <is>
          <t>ПРОДАНО</t>
        </is>
      </c>
      <c r="L56" s="148" t="inlineStr">
        <is>
          <t>ЦЕНА:</t>
        </is>
      </c>
      <c r="M56" s="149" t="inlineStr">
        <is>
          <t>ПРОДАНО</t>
        </is>
      </c>
      <c r="N56" s="148" t="inlineStr">
        <is>
          <t>ЦЕНА:</t>
        </is>
      </c>
      <c r="O56" s="149" t="inlineStr">
        <is>
          <t>ПРОДАНО</t>
        </is>
      </c>
      <c r="P56" s="148" t="inlineStr">
        <is>
          <t>ЦЕНА:</t>
        </is>
      </c>
      <c r="Q56" s="155" t="inlineStr">
        <is>
          <t>ПРОДАНО</t>
        </is>
      </c>
      <c r="R56" s="225" t="n"/>
      <c r="S56" s="193" t="n"/>
      <c r="T56" s="148" t="inlineStr">
        <is>
          <t>ЦЕНА:</t>
        </is>
      </c>
      <c r="U56" s="149" t="inlineStr">
        <is>
          <t>ПРОДАНО</t>
        </is>
      </c>
      <c r="V56" s="148" t="inlineStr">
        <is>
          <t>ЦЕНА:</t>
        </is>
      </c>
      <c r="W56" s="149" t="inlineStr">
        <is>
          <t>ПРОДАНО</t>
        </is>
      </c>
      <c r="X56" s="148" t="inlineStr">
        <is>
          <t>ЦЕНА:</t>
        </is>
      </c>
      <c r="Y56" s="149" t="inlineStr">
        <is>
          <t>ПРОДАНО</t>
        </is>
      </c>
      <c r="Z56" s="148" t="inlineStr">
        <is>
          <t>ЦЕНА:</t>
        </is>
      </c>
      <c r="AA56" s="149" t="inlineStr">
        <is>
          <t>ПРОДАНО</t>
        </is>
      </c>
      <c r="AB56" s="148" t="inlineStr">
        <is>
          <t>ЦЕНА:</t>
        </is>
      </c>
      <c r="AC56" s="149" t="inlineStr">
        <is>
          <t>ПРОДАНО</t>
        </is>
      </c>
      <c r="AD56" s="148" t="inlineStr">
        <is>
          <t>ЦЕНА:</t>
        </is>
      </c>
      <c r="AE56" s="149" t="inlineStr">
        <is>
          <t>ПРОДАНО</t>
        </is>
      </c>
      <c r="AF56" s="148" t="inlineStr">
        <is>
          <t>ЦЕНА:</t>
        </is>
      </c>
      <c r="AG56" s="149" t="inlineStr">
        <is>
          <t>ПРОДАНО</t>
        </is>
      </c>
      <c r="AH56" s="148" t="inlineStr">
        <is>
          <t>ЦЕНА:</t>
        </is>
      </c>
      <c r="AI56" s="155" t="inlineStr">
        <is>
          <t>ПРОДАНО</t>
        </is>
      </c>
      <c r="AJ56" s="225" t="n"/>
      <c r="AK56" s="193" t="n"/>
      <c r="AL56" s="148" t="inlineStr">
        <is>
          <t>ЦЕНА:</t>
        </is>
      </c>
      <c r="AM56" s="149" t="inlineStr">
        <is>
          <t>ПРОДАНО</t>
        </is>
      </c>
      <c r="AN56" s="148" t="inlineStr">
        <is>
          <t>ЦЕНА:</t>
        </is>
      </c>
      <c r="AO56" s="149" t="inlineStr">
        <is>
          <t>ПРОДАНО</t>
        </is>
      </c>
      <c r="AP56" s="148" t="inlineStr">
        <is>
          <t>ЦЕНА:</t>
        </is>
      </c>
      <c r="AQ56" s="149" t="inlineStr">
        <is>
          <t>ПРОДАНО</t>
        </is>
      </c>
      <c r="AR56" s="148" t="inlineStr">
        <is>
          <t>ЦЕНА:</t>
        </is>
      </c>
      <c r="AS56" s="149" t="inlineStr">
        <is>
          <t>ПРОДАНО</t>
        </is>
      </c>
      <c r="AT56" s="148" t="inlineStr">
        <is>
          <t>ЦЕНА:</t>
        </is>
      </c>
      <c r="AU56" s="149" t="inlineStr">
        <is>
          <t>ПРОДАНО</t>
        </is>
      </c>
      <c r="AV56" s="148" t="inlineStr">
        <is>
          <t>ЦЕНА:</t>
        </is>
      </c>
      <c r="AW56" s="149" t="inlineStr">
        <is>
          <t>ПРОДАНО</t>
        </is>
      </c>
      <c r="AX56" s="148" t="inlineStr">
        <is>
          <t>ЦЕНА:</t>
        </is>
      </c>
      <c r="AY56" s="149" t="inlineStr">
        <is>
          <t>ПРОДАНО</t>
        </is>
      </c>
      <c r="AZ56" s="148" t="inlineStr">
        <is>
          <t>ЦЕНА:</t>
        </is>
      </c>
      <c r="BA56" s="155" t="inlineStr">
        <is>
          <t>ПРОДАНО</t>
        </is>
      </c>
      <c r="BB56" s="225" t="n"/>
      <c r="BC56" s="193" t="n"/>
      <c r="BD56" s="94" t="n"/>
    </row>
    <row r="57" ht="15.75" customHeight="1" s="163">
      <c r="A57" s="94" t="n"/>
      <c r="B57" s="150" t="inlineStr">
        <is>
          <t>ПЛОЩАДЬ:</t>
        </is>
      </c>
      <c r="C57" s="151" t="n">
        <v>66</v>
      </c>
      <c r="D57" s="150" t="inlineStr">
        <is>
          <t>ПЛОЩАДЬ:</t>
        </is>
      </c>
      <c r="E57" s="151" t="n">
        <v>67</v>
      </c>
      <c r="F57" s="150" t="inlineStr">
        <is>
          <t>ПЛОЩАДЬ:</t>
        </is>
      </c>
      <c r="G57" s="151" t="n">
        <v>67</v>
      </c>
      <c r="H57" s="150" t="inlineStr">
        <is>
          <t>ПЛОЩАДЬ:</t>
        </is>
      </c>
      <c r="I57" s="151" t="n">
        <v>67</v>
      </c>
      <c r="J57" s="150" t="inlineStr">
        <is>
          <t>ПЛОЩАДЬ:</t>
        </is>
      </c>
      <c r="K57" s="151" t="n">
        <v>68</v>
      </c>
      <c r="L57" s="150" t="inlineStr">
        <is>
          <t>ПЛОЩАДЬ:</t>
        </is>
      </c>
      <c r="M57" s="151" t="n">
        <v>68</v>
      </c>
      <c r="N57" s="150" t="inlineStr">
        <is>
          <t>ПЛОЩАДЬ:</t>
        </is>
      </c>
      <c r="O57" s="151" t="n">
        <v>68</v>
      </c>
      <c r="P57" s="150" t="inlineStr">
        <is>
          <t>ПЛОЩАДЬ:</t>
        </is>
      </c>
      <c r="Q57" s="156" t="n">
        <v>69</v>
      </c>
      <c r="R57" s="225" t="n"/>
      <c r="S57" s="193" t="n"/>
      <c r="T57" s="150" t="inlineStr">
        <is>
          <t>ПЛОЩАДЬ:</t>
        </is>
      </c>
      <c r="U57" s="151" t="n">
        <v>67</v>
      </c>
      <c r="V57" s="150" t="inlineStr">
        <is>
          <t>ПЛОЩАДЬ:</t>
        </is>
      </c>
      <c r="W57" s="151" t="n">
        <v>68</v>
      </c>
      <c r="X57" s="150" t="inlineStr">
        <is>
          <t>ПЛОЩАДЬ:</t>
        </is>
      </c>
      <c r="Y57" s="151" t="n">
        <v>68</v>
      </c>
      <c r="Z57" s="150" t="inlineStr">
        <is>
          <t>ПЛОЩАДЬ:</t>
        </is>
      </c>
      <c r="AA57" s="151" t="n">
        <v>68</v>
      </c>
      <c r="AB57" s="150" t="inlineStr">
        <is>
          <t>ПЛОЩАДЬ:</t>
        </is>
      </c>
      <c r="AC57" s="151" t="n">
        <v>69</v>
      </c>
      <c r="AD57" s="150" t="inlineStr">
        <is>
          <t>ПЛОЩАДЬ:</t>
        </is>
      </c>
      <c r="AE57" s="151" t="n">
        <v>69</v>
      </c>
      <c r="AF57" s="150" t="inlineStr">
        <is>
          <t>ПЛОЩАДЬ:</t>
        </is>
      </c>
      <c r="AG57" s="151" t="n">
        <v>69</v>
      </c>
      <c r="AH57" s="150" t="inlineStr">
        <is>
          <t>ПЛОЩАДЬ:</t>
        </is>
      </c>
      <c r="AI57" s="156" t="n">
        <v>70</v>
      </c>
      <c r="AJ57" s="225" t="n"/>
      <c r="AK57" s="193" t="n"/>
      <c r="AL57" s="150" t="inlineStr">
        <is>
          <t>ПЛОЩАДЬ:</t>
        </is>
      </c>
      <c r="AM57" s="151" t="n">
        <v>68</v>
      </c>
      <c r="AN57" s="150" t="inlineStr">
        <is>
          <t>ПЛОЩАДЬ:</t>
        </is>
      </c>
      <c r="AO57" s="151" t="n">
        <v>69</v>
      </c>
      <c r="AP57" s="150" t="inlineStr">
        <is>
          <t>ПЛОЩАДЬ:</t>
        </is>
      </c>
      <c r="AQ57" s="151" t="n">
        <v>69</v>
      </c>
      <c r="AR57" s="150" t="inlineStr">
        <is>
          <t>ПЛОЩАДЬ:</t>
        </is>
      </c>
      <c r="AS57" s="151" t="n">
        <v>69</v>
      </c>
      <c r="AT57" s="150" t="inlineStr">
        <is>
          <t>ПЛОЩАДЬ:</t>
        </is>
      </c>
      <c r="AU57" s="151" t="n">
        <v>70</v>
      </c>
      <c r="AV57" s="150" t="inlineStr">
        <is>
          <t>ПЛОЩАДЬ:</t>
        </is>
      </c>
      <c r="AW57" s="151" t="n">
        <v>70</v>
      </c>
      <c r="AX57" s="150" t="inlineStr">
        <is>
          <t>ПЛОЩАДЬ:</t>
        </is>
      </c>
      <c r="AY57" s="151" t="n">
        <v>70</v>
      </c>
      <c r="AZ57" s="150" t="inlineStr">
        <is>
          <t>ПЛОЩАДЬ:</t>
        </is>
      </c>
      <c r="BA57" s="156" t="n">
        <v>71</v>
      </c>
      <c r="BB57" s="225" t="n"/>
      <c r="BC57" s="193" t="n"/>
      <c r="BD57" s="94" t="n"/>
    </row>
    <row r="58" ht="15.75" customHeight="1" s="163">
      <c r="A58" s="94" t="n"/>
      <c r="B58" s="222" t="inlineStr">
        <is>
          <t>ул. Лазурный берег</t>
        </is>
      </c>
      <c r="C58" s="223" t="n"/>
      <c r="D58" s="223" t="n"/>
      <c r="E58" s="223" t="n"/>
      <c r="F58" s="223" t="n"/>
      <c r="G58" s="223" t="n"/>
      <c r="H58" s="223" t="n"/>
      <c r="I58" s="223" t="n"/>
      <c r="J58" s="223" t="n"/>
      <c r="K58" s="223" t="n"/>
      <c r="L58" s="223" t="n"/>
      <c r="M58" s="223" t="n"/>
      <c r="N58" s="223" t="n"/>
      <c r="O58" s="223" t="n"/>
      <c r="P58" s="223" t="n"/>
      <c r="Q58" s="182" t="n"/>
      <c r="R58" s="225" t="n"/>
      <c r="S58" s="193" t="n"/>
      <c r="T58" s="222" t="inlineStr">
        <is>
          <t>ул. Лазурный берег</t>
        </is>
      </c>
      <c r="U58" s="223" t="n"/>
      <c r="V58" s="223" t="n"/>
      <c r="W58" s="223" t="n"/>
      <c r="X58" s="223" t="n"/>
      <c r="Y58" s="223" t="n"/>
      <c r="Z58" s="223" t="n"/>
      <c r="AA58" s="223" t="n"/>
      <c r="AB58" s="223" t="n"/>
      <c r="AC58" s="223" t="n"/>
      <c r="AD58" s="223" t="n"/>
      <c r="AE58" s="223" t="n"/>
      <c r="AF58" s="223" t="n"/>
      <c r="AG58" s="223" t="n"/>
      <c r="AH58" s="223" t="n"/>
      <c r="AI58" s="182" t="n"/>
      <c r="AJ58" s="225" t="n"/>
      <c r="AK58" s="193" t="n"/>
      <c r="AL58" s="222" t="inlineStr">
        <is>
          <t>ул. Лазурный берег</t>
        </is>
      </c>
      <c r="AM58" s="223" t="n"/>
      <c r="AN58" s="223" t="n"/>
      <c r="AO58" s="223" t="n"/>
      <c r="AP58" s="223" t="n"/>
      <c r="AQ58" s="223" t="n"/>
      <c r="AR58" s="223" t="n"/>
      <c r="AS58" s="223" t="n"/>
      <c r="AT58" s="223" t="n"/>
      <c r="AU58" s="223" t="n"/>
      <c r="AV58" s="223" t="n"/>
      <c r="AW58" s="223" t="n"/>
      <c r="AX58" s="223" t="n"/>
      <c r="AY58" s="223" t="n"/>
      <c r="AZ58" s="223" t="n"/>
      <c r="BA58" s="182" t="n"/>
      <c r="BB58" s="225" t="n"/>
      <c r="BC58" s="193" t="n"/>
      <c r="BD58" s="94" t="n"/>
    </row>
    <row r="59" ht="15.75" customHeight="1" s="163">
      <c r="A59" s="94" t="n"/>
      <c r="B59" s="186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85" t="n"/>
      <c r="R59" s="225" t="n"/>
      <c r="S59" s="193" t="n"/>
      <c r="T59" s="186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85" t="n"/>
      <c r="AJ59" s="225" t="n"/>
      <c r="AK59" s="193" t="n"/>
      <c r="AL59" s="186" t="n"/>
      <c r="AM59" s="198" t="n"/>
      <c r="AN59" s="198" t="n"/>
      <c r="AO59" s="198" t="n"/>
      <c r="AP59" s="198" t="n"/>
      <c r="AQ59" s="198" t="n"/>
      <c r="AR59" s="198" t="n"/>
      <c r="AS59" s="198" t="n"/>
      <c r="AT59" s="198" t="n"/>
      <c r="AU59" s="198" t="n"/>
      <c r="AV59" s="198" t="n"/>
      <c r="AW59" s="198" t="n"/>
      <c r="AX59" s="198" t="n"/>
      <c r="AY59" s="198" t="n"/>
      <c r="AZ59" s="198" t="n"/>
      <c r="BA59" s="185" t="n"/>
      <c r="BB59" s="225" t="n"/>
      <c r="BC59" s="193" t="n"/>
      <c r="BD59" s="94" t="n"/>
    </row>
    <row r="60" ht="15.75" customHeight="1" s="163">
      <c r="A60" s="94" t="n"/>
      <c r="B60" s="146" t="inlineStr">
        <is>
          <t>№ 5</t>
        </is>
      </c>
      <c r="C60" s="147" t="inlineStr">
        <is>
          <t>Коммерция</t>
        </is>
      </c>
      <c r="D60" s="146" t="inlineStr">
        <is>
          <t>№ 6</t>
        </is>
      </c>
      <c r="E60" s="147" t="inlineStr">
        <is>
          <t>Коммерция</t>
        </is>
      </c>
      <c r="F60" s="146" t="inlineStr">
        <is>
          <t>№ 6</t>
        </is>
      </c>
      <c r="G60" s="147" t="inlineStr">
        <is>
          <t>Коммерция</t>
        </is>
      </c>
      <c r="H60" s="146" t="inlineStr">
        <is>
          <t>№ 6</t>
        </is>
      </c>
      <c r="I60" s="147" t="inlineStr">
        <is>
          <t>Коммерция</t>
        </is>
      </c>
      <c r="J60" s="146" t="inlineStr">
        <is>
          <t>№ 7</t>
        </is>
      </c>
      <c r="K60" s="147" t="inlineStr">
        <is>
          <t>Коммерция</t>
        </is>
      </c>
      <c r="L60" s="146" t="inlineStr">
        <is>
          <t>№ 7</t>
        </is>
      </c>
      <c r="M60" s="147" t="inlineStr">
        <is>
          <t>Коммерция</t>
        </is>
      </c>
      <c r="N60" s="146" t="inlineStr">
        <is>
          <t>№ 7</t>
        </is>
      </c>
      <c r="O60" s="147" t="inlineStr">
        <is>
          <t>Коммерция</t>
        </is>
      </c>
      <c r="P60" s="146" t="inlineStr">
        <is>
          <t>№ 8</t>
        </is>
      </c>
      <c r="Q60" s="154" t="inlineStr">
        <is>
          <t>Коммерция</t>
        </is>
      </c>
      <c r="R60" s="225" t="n"/>
      <c r="S60" s="193" t="n"/>
      <c r="T60" s="146" t="inlineStr">
        <is>
          <t>№ 6</t>
        </is>
      </c>
      <c r="U60" s="147" t="inlineStr">
        <is>
          <t>Коммерция</t>
        </is>
      </c>
      <c r="V60" s="146" t="inlineStr">
        <is>
          <t>№ 7</t>
        </is>
      </c>
      <c r="W60" s="147" t="inlineStr">
        <is>
          <t>Коммерция</t>
        </is>
      </c>
      <c r="X60" s="146" t="inlineStr">
        <is>
          <t>№ 7</t>
        </is>
      </c>
      <c r="Y60" s="147" t="inlineStr">
        <is>
          <t>Коммерция</t>
        </is>
      </c>
      <c r="Z60" s="146" t="inlineStr">
        <is>
          <t>№ 7</t>
        </is>
      </c>
      <c r="AA60" s="147" t="inlineStr">
        <is>
          <t>Коммерция</t>
        </is>
      </c>
      <c r="AB60" s="146" t="inlineStr">
        <is>
          <t>№ 8</t>
        </is>
      </c>
      <c r="AC60" s="147" t="inlineStr">
        <is>
          <t>Коммерция</t>
        </is>
      </c>
      <c r="AD60" s="146" t="inlineStr">
        <is>
          <t>№ 8</t>
        </is>
      </c>
      <c r="AE60" s="147" t="inlineStr">
        <is>
          <t>Коммерция</t>
        </is>
      </c>
      <c r="AF60" s="146" t="inlineStr">
        <is>
          <t>№ 8</t>
        </is>
      </c>
      <c r="AG60" s="147" t="inlineStr">
        <is>
          <t>Коммерция</t>
        </is>
      </c>
      <c r="AH60" s="146" t="inlineStr">
        <is>
          <t>№ 9</t>
        </is>
      </c>
      <c r="AI60" s="154" t="inlineStr">
        <is>
          <t>Коммерция</t>
        </is>
      </c>
      <c r="AJ60" s="225" t="n"/>
      <c r="AK60" s="193" t="n"/>
      <c r="AL60" s="146" t="inlineStr">
        <is>
          <t>№ 7</t>
        </is>
      </c>
      <c r="AM60" s="147" t="inlineStr">
        <is>
          <t>Коммерция</t>
        </is>
      </c>
      <c r="AN60" s="146" t="inlineStr">
        <is>
          <t>№ 8</t>
        </is>
      </c>
      <c r="AO60" s="147" t="inlineStr">
        <is>
          <t>Коммерция</t>
        </is>
      </c>
      <c r="AP60" s="146" t="inlineStr">
        <is>
          <t>№ 8</t>
        </is>
      </c>
      <c r="AQ60" s="147" t="inlineStr">
        <is>
          <t>Коммерция</t>
        </is>
      </c>
      <c r="AR60" s="146" t="inlineStr">
        <is>
          <t>№ 8</t>
        </is>
      </c>
      <c r="AS60" s="147" t="inlineStr">
        <is>
          <t>Коммерция</t>
        </is>
      </c>
      <c r="AT60" s="146" t="inlineStr">
        <is>
          <t>№ 9</t>
        </is>
      </c>
      <c r="AU60" s="147" t="inlineStr">
        <is>
          <t>Коммерция</t>
        </is>
      </c>
      <c r="AV60" s="146" t="inlineStr">
        <is>
          <t>№ 9</t>
        </is>
      </c>
      <c r="AW60" s="147" t="inlineStr">
        <is>
          <t>Коммерция</t>
        </is>
      </c>
      <c r="AX60" s="146" t="inlineStr">
        <is>
          <t>№ 9</t>
        </is>
      </c>
      <c r="AY60" s="147" t="inlineStr">
        <is>
          <t>Коммерция</t>
        </is>
      </c>
      <c r="AZ60" s="146" t="inlineStr">
        <is>
          <t>№ 10</t>
        </is>
      </c>
      <c r="BA60" s="154" t="inlineStr">
        <is>
          <t>Коммерция</t>
        </is>
      </c>
      <c r="BB60" s="225" t="n"/>
      <c r="BC60" s="193" t="n"/>
      <c r="BD60" s="94" t="n"/>
    </row>
    <row r="61" ht="15.75" customHeight="1" s="163">
      <c r="A61" s="94" t="n"/>
      <c r="B61" s="148" t="inlineStr">
        <is>
          <t>ЦЕНА:</t>
        </is>
      </c>
      <c r="C61" s="149" t="inlineStr">
        <is>
          <t>ПРОДАНО</t>
        </is>
      </c>
      <c r="D61" s="148" t="inlineStr">
        <is>
          <t>ЦЕНА:</t>
        </is>
      </c>
      <c r="E61" s="149" t="inlineStr">
        <is>
          <t>ПРОДАНО</t>
        </is>
      </c>
      <c r="F61" s="148" t="inlineStr">
        <is>
          <t>ЦЕНА:</t>
        </is>
      </c>
      <c r="G61" s="149" t="inlineStr">
        <is>
          <t>ПРОДАНО</t>
        </is>
      </c>
      <c r="H61" s="148" t="inlineStr">
        <is>
          <t>ЦЕНА:</t>
        </is>
      </c>
      <c r="I61" s="149" t="inlineStr">
        <is>
          <t>ПРОДАНО</t>
        </is>
      </c>
      <c r="J61" s="148" t="inlineStr">
        <is>
          <t>ЦЕНА:</t>
        </is>
      </c>
      <c r="K61" s="149" t="inlineStr">
        <is>
          <t>ПРОДАНО</t>
        </is>
      </c>
      <c r="L61" s="148" t="inlineStr">
        <is>
          <t>ЦЕНА:</t>
        </is>
      </c>
      <c r="M61" s="149" t="inlineStr">
        <is>
          <t>ПРОДАНО</t>
        </is>
      </c>
      <c r="N61" s="148" t="inlineStr">
        <is>
          <t>ЦЕНА:</t>
        </is>
      </c>
      <c r="O61" s="149" t="inlineStr">
        <is>
          <t>ПРОДАНО</t>
        </is>
      </c>
      <c r="P61" s="148" t="inlineStr">
        <is>
          <t>ЦЕНА:</t>
        </is>
      </c>
      <c r="Q61" s="155" t="inlineStr">
        <is>
          <t>ПРОДАНО</t>
        </is>
      </c>
      <c r="R61" s="225" t="n"/>
      <c r="S61" s="193" t="n"/>
      <c r="T61" s="148" t="inlineStr">
        <is>
          <t>ЦЕНА:</t>
        </is>
      </c>
      <c r="U61" s="149" t="inlineStr">
        <is>
          <t>ПРОДАНО</t>
        </is>
      </c>
      <c r="V61" s="148" t="inlineStr">
        <is>
          <t>ЦЕНА:</t>
        </is>
      </c>
      <c r="W61" s="149" t="inlineStr">
        <is>
          <t>ПРОДАНО</t>
        </is>
      </c>
      <c r="X61" s="148" t="inlineStr">
        <is>
          <t>ЦЕНА:</t>
        </is>
      </c>
      <c r="Y61" s="149" t="inlineStr">
        <is>
          <t>ПРОДАНО</t>
        </is>
      </c>
      <c r="Z61" s="148" t="inlineStr">
        <is>
          <t>ЦЕНА:</t>
        </is>
      </c>
      <c r="AA61" s="149" t="inlineStr">
        <is>
          <t>ПРОДАНО</t>
        </is>
      </c>
      <c r="AB61" s="148" t="inlineStr">
        <is>
          <t>ЦЕНА:</t>
        </is>
      </c>
      <c r="AC61" s="149" t="inlineStr">
        <is>
          <t>ПРОДАНО</t>
        </is>
      </c>
      <c r="AD61" s="148" t="inlineStr">
        <is>
          <t>ЦЕНА:</t>
        </is>
      </c>
      <c r="AE61" s="149" t="inlineStr">
        <is>
          <t>ПРОДАНО</t>
        </is>
      </c>
      <c r="AF61" s="148" t="inlineStr">
        <is>
          <t>ЦЕНА:</t>
        </is>
      </c>
      <c r="AG61" s="149" t="inlineStr">
        <is>
          <t>ПРОДАНО</t>
        </is>
      </c>
      <c r="AH61" s="148" t="inlineStr">
        <is>
          <t>ЦЕНА:</t>
        </is>
      </c>
      <c r="AI61" s="155" t="inlineStr">
        <is>
          <t>ПРОДАНО</t>
        </is>
      </c>
      <c r="AJ61" s="225" t="n"/>
      <c r="AK61" s="193" t="n"/>
      <c r="AL61" s="148" t="inlineStr">
        <is>
          <t>ЦЕНА:</t>
        </is>
      </c>
      <c r="AM61" s="149" t="inlineStr">
        <is>
          <t>ПРОДАНО</t>
        </is>
      </c>
      <c r="AN61" s="148" t="inlineStr">
        <is>
          <t>ЦЕНА:</t>
        </is>
      </c>
      <c r="AO61" s="149" t="inlineStr">
        <is>
          <t>ПРОДАНО</t>
        </is>
      </c>
      <c r="AP61" s="148" t="inlineStr">
        <is>
          <t>ЦЕНА:</t>
        </is>
      </c>
      <c r="AQ61" s="149" t="inlineStr">
        <is>
          <t>ПРОДАНО</t>
        </is>
      </c>
      <c r="AR61" s="148" t="inlineStr">
        <is>
          <t>ЦЕНА:</t>
        </is>
      </c>
      <c r="AS61" s="149" t="inlineStr">
        <is>
          <t>ПРОДАНО</t>
        </is>
      </c>
      <c r="AT61" s="148" t="inlineStr">
        <is>
          <t>ЦЕНА:</t>
        </is>
      </c>
      <c r="AU61" s="149" t="inlineStr">
        <is>
          <t>ПРОДАНО</t>
        </is>
      </c>
      <c r="AV61" s="148" t="inlineStr">
        <is>
          <t>ЦЕНА:</t>
        </is>
      </c>
      <c r="AW61" s="149" t="inlineStr">
        <is>
          <t>ПРОДАНО</t>
        </is>
      </c>
      <c r="AX61" s="148" t="inlineStr">
        <is>
          <t>ЦЕНА:</t>
        </is>
      </c>
      <c r="AY61" s="149" t="inlineStr">
        <is>
          <t>ПРОДАНО</t>
        </is>
      </c>
      <c r="AZ61" s="148" t="inlineStr">
        <is>
          <t>ЦЕНА:</t>
        </is>
      </c>
      <c r="BA61" s="155" t="inlineStr">
        <is>
          <t>ПРОДАНО</t>
        </is>
      </c>
      <c r="BB61" s="225" t="n"/>
      <c r="BC61" s="193" t="n"/>
      <c r="BD61" s="94" t="n"/>
    </row>
    <row r="62" ht="15.75" customHeight="1" s="163">
      <c r="A62" s="94" t="n"/>
      <c r="B62" s="150" t="inlineStr">
        <is>
          <t>ПЛОЩАДЬ:</t>
        </is>
      </c>
      <c r="C62" s="151" t="n">
        <v>66</v>
      </c>
      <c r="D62" s="150" t="inlineStr">
        <is>
          <t>ПЛОЩАДЬ:</t>
        </is>
      </c>
      <c r="E62" s="151" t="n">
        <v>67</v>
      </c>
      <c r="F62" s="150" t="inlineStr">
        <is>
          <t>ПЛОЩАДЬ:</t>
        </is>
      </c>
      <c r="G62" s="151" t="n">
        <v>67</v>
      </c>
      <c r="H62" s="150" t="inlineStr">
        <is>
          <t>ПЛОЩАДЬ:</t>
        </is>
      </c>
      <c r="I62" s="151" t="n">
        <v>67</v>
      </c>
      <c r="J62" s="150" t="inlineStr">
        <is>
          <t>ПЛОЩАДЬ:</t>
        </is>
      </c>
      <c r="K62" s="151" t="n">
        <v>68</v>
      </c>
      <c r="L62" s="150" t="inlineStr">
        <is>
          <t>ПЛОЩАДЬ:</t>
        </is>
      </c>
      <c r="M62" s="151" t="n">
        <v>68</v>
      </c>
      <c r="N62" s="150" t="inlineStr">
        <is>
          <t>ПЛОЩАДЬ:</t>
        </is>
      </c>
      <c r="O62" s="151" t="n">
        <v>68</v>
      </c>
      <c r="P62" s="150" t="inlineStr">
        <is>
          <t>ПЛОЩАДЬ:</t>
        </is>
      </c>
      <c r="Q62" s="156" t="n">
        <v>69</v>
      </c>
      <c r="R62" s="225" t="n"/>
      <c r="S62" s="193" t="n"/>
      <c r="T62" s="150" t="inlineStr">
        <is>
          <t>ПЛОЩАДЬ:</t>
        </is>
      </c>
      <c r="U62" s="151" t="n">
        <v>67</v>
      </c>
      <c r="V62" s="150" t="inlineStr">
        <is>
          <t>ПЛОЩАДЬ:</t>
        </is>
      </c>
      <c r="W62" s="151" t="n">
        <v>68</v>
      </c>
      <c r="X62" s="150" t="inlineStr">
        <is>
          <t>ПЛОЩАДЬ:</t>
        </is>
      </c>
      <c r="Y62" s="151" t="n">
        <v>68</v>
      </c>
      <c r="Z62" s="150" t="inlineStr">
        <is>
          <t>ПЛОЩАДЬ:</t>
        </is>
      </c>
      <c r="AA62" s="151" t="n">
        <v>68</v>
      </c>
      <c r="AB62" s="150" t="inlineStr">
        <is>
          <t>ПЛОЩАДЬ:</t>
        </is>
      </c>
      <c r="AC62" s="151" t="n">
        <v>69</v>
      </c>
      <c r="AD62" s="150" t="inlineStr">
        <is>
          <t>ПЛОЩАДЬ:</t>
        </is>
      </c>
      <c r="AE62" s="151" t="n">
        <v>69</v>
      </c>
      <c r="AF62" s="150" t="inlineStr">
        <is>
          <t>ПЛОЩАДЬ:</t>
        </is>
      </c>
      <c r="AG62" s="151" t="n">
        <v>69</v>
      </c>
      <c r="AH62" s="150" t="inlineStr">
        <is>
          <t>ПЛОЩАДЬ:</t>
        </is>
      </c>
      <c r="AI62" s="156" t="n">
        <v>70</v>
      </c>
      <c r="AJ62" s="225" t="n"/>
      <c r="AK62" s="193" t="n"/>
      <c r="AL62" s="150" t="inlineStr">
        <is>
          <t>ПЛОЩАДЬ:</t>
        </is>
      </c>
      <c r="AM62" s="151" t="n">
        <v>68</v>
      </c>
      <c r="AN62" s="150" t="inlineStr">
        <is>
          <t>ПЛОЩАДЬ:</t>
        </is>
      </c>
      <c r="AO62" s="151" t="n">
        <v>69</v>
      </c>
      <c r="AP62" s="150" t="inlineStr">
        <is>
          <t>ПЛОЩАДЬ:</t>
        </is>
      </c>
      <c r="AQ62" s="151" t="n">
        <v>69</v>
      </c>
      <c r="AR62" s="150" t="inlineStr">
        <is>
          <t>ПЛОЩАДЬ:</t>
        </is>
      </c>
      <c r="AS62" s="151" t="n">
        <v>69</v>
      </c>
      <c r="AT62" s="150" t="inlineStr">
        <is>
          <t>ПЛОЩАДЬ:</t>
        </is>
      </c>
      <c r="AU62" s="151" t="n">
        <v>70</v>
      </c>
      <c r="AV62" s="150" t="inlineStr">
        <is>
          <t>ПЛОЩАДЬ:</t>
        </is>
      </c>
      <c r="AW62" s="151" t="n">
        <v>70</v>
      </c>
      <c r="AX62" s="150" t="inlineStr">
        <is>
          <t>ПЛОЩАДЬ:</t>
        </is>
      </c>
      <c r="AY62" s="151" t="n">
        <v>70</v>
      </c>
      <c r="AZ62" s="150" t="inlineStr">
        <is>
          <t>ПЛОЩАДЬ:</t>
        </is>
      </c>
      <c r="BA62" s="156" t="n">
        <v>71</v>
      </c>
      <c r="BB62" s="225" t="n"/>
      <c r="BC62" s="193" t="n"/>
      <c r="BD62" s="94" t="n"/>
    </row>
    <row r="63" ht="15.75" customHeight="1" s="163">
      <c r="A63" s="94" t="n"/>
      <c r="B63" s="146" t="inlineStr">
        <is>
          <t>№ 6</t>
        </is>
      </c>
      <c r="C63" s="147" t="inlineStr">
        <is>
          <t>Коммерция</t>
        </is>
      </c>
      <c r="D63" s="146" t="inlineStr">
        <is>
          <t>№ 7</t>
        </is>
      </c>
      <c r="E63" s="147" t="inlineStr">
        <is>
          <t>Коммерция</t>
        </is>
      </c>
      <c r="F63" s="146" t="inlineStr">
        <is>
          <t>№ 7</t>
        </is>
      </c>
      <c r="G63" s="147" t="inlineStr">
        <is>
          <t>Коммерция</t>
        </is>
      </c>
      <c r="H63" s="146" t="inlineStr">
        <is>
          <t>№ 7</t>
        </is>
      </c>
      <c r="I63" s="147" t="inlineStr">
        <is>
          <t>Коммерция</t>
        </is>
      </c>
      <c r="J63" s="146" t="inlineStr">
        <is>
          <t>№ 8</t>
        </is>
      </c>
      <c r="K63" s="147" t="inlineStr">
        <is>
          <t>Коммерция</t>
        </is>
      </c>
      <c r="L63" s="146" t="inlineStr">
        <is>
          <t>№ 8</t>
        </is>
      </c>
      <c r="M63" s="147" t="inlineStr">
        <is>
          <t>Коммерция</t>
        </is>
      </c>
      <c r="N63" s="146" t="inlineStr">
        <is>
          <t>№ 8</t>
        </is>
      </c>
      <c r="O63" s="147" t="inlineStr">
        <is>
          <t>Коммерция</t>
        </is>
      </c>
      <c r="P63" s="146" t="inlineStr">
        <is>
          <t>№ 9</t>
        </is>
      </c>
      <c r="Q63" s="154" t="inlineStr">
        <is>
          <t>Коммерция</t>
        </is>
      </c>
      <c r="R63" s="225" t="n"/>
      <c r="S63" s="193" t="n"/>
      <c r="T63" s="146" t="inlineStr">
        <is>
          <t>№ 7</t>
        </is>
      </c>
      <c r="U63" s="147" t="inlineStr">
        <is>
          <t>Коммерция</t>
        </is>
      </c>
      <c r="V63" s="146" t="inlineStr">
        <is>
          <t>№ 8</t>
        </is>
      </c>
      <c r="W63" s="147" t="inlineStr">
        <is>
          <t>Коммерция</t>
        </is>
      </c>
      <c r="X63" s="146" t="inlineStr">
        <is>
          <t>№ 8</t>
        </is>
      </c>
      <c r="Y63" s="147" t="inlineStr">
        <is>
          <t>Коммерция</t>
        </is>
      </c>
      <c r="Z63" s="146" t="inlineStr">
        <is>
          <t>№ 8</t>
        </is>
      </c>
      <c r="AA63" s="147" t="inlineStr">
        <is>
          <t>Коммерция</t>
        </is>
      </c>
      <c r="AB63" s="146" t="inlineStr">
        <is>
          <t>№ 9</t>
        </is>
      </c>
      <c r="AC63" s="147" t="inlineStr">
        <is>
          <t>Коммерция</t>
        </is>
      </c>
      <c r="AD63" s="146" t="inlineStr">
        <is>
          <t>№ 9</t>
        </is>
      </c>
      <c r="AE63" s="147" t="inlineStr">
        <is>
          <t>Коммерция</t>
        </is>
      </c>
      <c r="AF63" s="146" t="inlineStr">
        <is>
          <t>№ 9</t>
        </is>
      </c>
      <c r="AG63" s="147" t="inlineStr">
        <is>
          <t>Коммерция</t>
        </is>
      </c>
      <c r="AH63" s="146" t="inlineStr">
        <is>
          <t>№ 10</t>
        </is>
      </c>
      <c r="AI63" s="154" t="inlineStr">
        <is>
          <t>Коммерция</t>
        </is>
      </c>
      <c r="AJ63" s="225" t="n"/>
      <c r="AK63" s="193" t="n"/>
      <c r="AL63" s="146" t="inlineStr">
        <is>
          <t>№ 8</t>
        </is>
      </c>
      <c r="AM63" s="147" t="inlineStr">
        <is>
          <t>Коммерция</t>
        </is>
      </c>
      <c r="AN63" s="146" t="inlineStr">
        <is>
          <t>№ 9</t>
        </is>
      </c>
      <c r="AO63" s="147" t="inlineStr">
        <is>
          <t>Коммерция</t>
        </is>
      </c>
      <c r="AP63" s="146" t="inlineStr">
        <is>
          <t>№ 9</t>
        </is>
      </c>
      <c r="AQ63" s="147" t="inlineStr">
        <is>
          <t>Коммерция</t>
        </is>
      </c>
      <c r="AR63" s="146" t="inlineStr">
        <is>
          <t>№ 9</t>
        </is>
      </c>
      <c r="AS63" s="147" t="inlineStr">
        <is>
          <t>Коммерция</t>
        </is>
      </c>
      <c r="AT63" s="146" t="inlineStr">
        <is>
          <t>№ 10</t>
        </is>
      </c>
      <c r="AU63" s="147" t="inlineStr">
        <is>
          <t>Коммерция</t>
        </is>
      </c>
      <c r="AV63" s="146" t="inlineStr">
        <is>
          <t>№ 10</t>
        </is>
      </c>
      <c r="AW63" s="147" t="inlineStr">
        <is>
          <t>Коммерция</t>
        </is>
      </c>
      <c r="AX63" s="146" t="inlineStr">
        <is>
          <t>№ 10</t>
        </is>
      </c>
      <c r="AY63" s="147" t="inlineStr">
        <is>
          <t>Коммерция</t>
        </is>
      </c>
      <c r="AZ63" s="146" t="inlineStr">
        <is>
          <t>№ 11</t>
        </is>
      </c>
      <c r="BA63" s="154" t="inlineStr">
        <is>
          <t>Коммерция</t>
        </is>
      </c>
      <c r="BB63" s="225" t="n"/>
      <c r="BC63" s="193" t="n"/>
      <c r="BD63" s="94" t="n"/>
    </row>
    <row r="64" ht="15.75" customHeight="1" s="163">
      <c r="A64" s="94" t="n"/>
      <c r="B64" s="148" t="inlineStr">
        <is>
          <t>ЦЕНА:</t>
        </is>
      </c>
      <c r="C64" s="149" t="inlineStr">
        <is>
          <t>ПРОДАНО</t>
        </is>
      </c>
      <c r="D64" s="148" t="inlineStr">
        <is>
          <t>ЦЕНА:</t>
        </is>
      </c>
      <c r="E64" s="149" t="inlineStr">
        <is>
          <t>ПРОДАНО</t>
        </is>
      </c>
      <c r="F64" s="148" t="inlineStr">
        <is>
          <t>ЦЕНА:</t>
        </is>
      </c>
      <c r="G64" s="149" t="inlineStr">
        <is>
          <t>ПРОДАНО</t>
        </is>
      </c>
      <c r="H64" s="148" t="inlineStr">
        <is>
          <t>ЦЕНА:</t>
        </is>
      </c>
      <c r="I64" s="149" t="inlineStr">
        <is>
          <t>ПРОДАНО</t>
        </is>
      </c>
      <c r="J64" s="148" t="inlineStr">
        <is>
          <t>ЦЕНА:</t>
        </is>
      </c>
      <c r="K64" s="149" t="inlineStr">
        <is>
          <t>ПРОДАНО</t>
        </is>
      </c>
      <c r="L64" s="148" t="inlineStr">
        <is>
          <t>ЦЕНА:</t>
        </is>
      </c>
      <c r="M64" s="149" t="inlineStr">
        <is>
          <t>ПРОДАНО</t>
        </is>
      </c>
      <c r="N64" s="148" t="inlineStr">
        <is>
          <t>ЦЕНА:</t>
        </is>
      </c>
      <c r="O64" s="149" t="inlineStr">
        <is>
          <t>ПРОДАНО</t>
        </is>
      </c>
      <c r="P64" s="148" t="inlineStr">
        <is>
          <t>ЦЕНА:</t>
        </is>
      </c>
      <c r="Q64" s="155" t="inlineStr">
        <is>
          <t>ПРОДАНО</t>
        </is>
      </c>
      <c r="R64" s="225" t="n"/>
      <c r="S64" s="193" t="n"/>
      <c r="T64" s="148" t="inlineStr">
        <is>
          <t>ЦЕНА:</t>
        </is>
      </c>
      <c r="U64" s="149" t="inlineStr">
        <is>
          <t>ПРОДАНО</t>
        </is>
      </c>
      <c r="V64" s="148" t="inlineStr">
        <is>
          <t>ЦЕНА:</t>
        </is>
      </c>
      <c r="W64" s="149" t="inlineStr">
        <is>
          <t>ПРОДАНО</t>
        </is>
      </c>
      <c r="X64" s="148" t="inlineStr">
        <is>
          <t>ЦЕНА:</t>
        </is>
      </c>
      <c r="Y64" s="149" t="inlineStr">
        <is>
          <t>ПРОДАНО</t>
        </is>
      </c>
      <c r="Z64" s="148" t="inlineStr">
        <is>
          <t>ЦЕНА:</t>
        </is>
      </c>
      <c r="AA64" s="149" t="inlineStr">
        <is>
          <t>ПРОДАНО</t>
        </is>
      </c>
      <c r="AB64" s="148" t="inlineStr">
        <is>
          <t>ЦЕНА:</t>
        </is>
      </c>
      <c r="AC64" s="149" t="inlineStr">
        <is>
          <t>ПРОДАНО</t>
        </is>
      </c>
      <c r="AD64" s="148" t="inlineStr">
        <is>
          <t>ЦЕНА:</t>
        </is>
      </c>
      <c r="AE64" s="149" t="inlineStr">
        <is>
          <t>ПРОДАНО</t>
        </is>
      </c>
      <c r="AF64" s="148" t="inlineStr">
        <is>
          <t>ЦЕНА:</t>
        </is>
      </c>
      <c r="AG64" s="149" t="inlineStr">
        <is>
          <t>ПРОДАНО</t>
        </is>
      </c>
      <c r="AH64" s="148" t="inlineStr">
        <is>
          <t>ЦЕНА:</t>
        </is>
      </c>
      <c r="AI64" s="155" t="inlineStr">
        <is>
          <t>ПРОДАНО</t>
        </is>
      </c>
      <c r="AJ64" s="225" t="n"/>
      <c r="AK64" s="193" t="n"/>
      <c r="AL64" s="148" t="inlineStr">
        <is>
          <t>ЦЕНА:</t>
        </is>
      </c>
      <c r="AM64" s="149" t="inlineStr">
        <is>
          <t>ПРОДАНО</t>
        </is>
      </c>
      <c r="AN64" s="148" t="inlineStr">
        <is>
          <t>ЦЕНА:</t>
        </is>
      </c>
      <c r="AO64" s="149" t="inlineStr">
        <is>
          <t>ПРОДАНО</t>
        </is>
      </c>
      <c r="AP64" s="148" t="inlineStr">
        <is>
          <t>ЦЕНА:</t>
        </is>
      </c>
      <c r="AQ64" s="149" t="inlineStr">
        <is>
          <t>ПРОДАНО</t>
        </is>
      </c>
      <c r="AR64" s="148" t="inlineStr">
        <is>
          <t>ЦЕНА:</t>
        </is>
      </c>
      <c r="AS64" s="149" t="inlineStr">
        <is>
          <t>ПРОДАНО</t>
        </is>
      </c>
      <c r="AT64" s="148" t="inlineStr">
        <is>
          <t>ЦЕНА:</t>
        </is>
      </c>
      <c r="AU64" s="149" t="inlineStr">
        <is>
          <t>ПРОДАНО</t>
        </is>
      </c>
      <c r="AV64" s="148" t="inlineStr">
        <is>
          <t>ЦЕНА:</t>
        </is>
      </c>
      <c r="AW64" s="149" t="inlineStr">
        <is>
          <t>ПРОДАНО</t>
        </is>
      </c>
      <c r="AX64" s="148" t="inlineStr">
        <is>
          <t>ЦЕНА:</t>
        </is>
      </c>
      <c r="AY64" s="149" t="inlineStr">
        <is>
          <t>ПРОДАНО</t>
        </is>
      </c>
      <c r="AZ64" s="148" t="inlineStr">
        <is>
          <t>ЦЕНА:</t>
        </is>
      </c>
      <c r="BA64" s="155" t="inlineStr">
        <is>
          <t>ПРОДАНО</t>
        </is>
      </c>
      <c r="BB64" s="225" t="n"/>
      <c r="BC64" s="193" t="n"/>
      <c r="BD64" s="94" t="n"/>
    </row>
    <row r="65" ht="15.75" customHeight="1" s="163">
      <c r="A65" s="94" t="n"/>
      <c r="B65" s="150" t="inlineStr">
        <is>
          <t>ПЛОЩАДЬ:</t>
        </is>
      </c>
      <c r="C65" s="151" t="n">
        <v>67</v>
      </c>
      <c r="D65" s="150" t="inlineStr">
        <is>
          <t>ПЛОЩАДЬ:</t>
        </is>
      </c>
      <c r="E65" s="151" t="n">
        <v>68</v>
      </c>
      <c r="F65" s="150" t="inlineStr">
        <is>
          <t>ПЛОЩАДЬ:</t>
        </is>
      </c>
      <c r="G65" s="151" t="n">
        <v>68</v>
      </c>
      <c r="H65" s="150" t="inlineStr">
        <is>
          <t>ПЛОЩАДЬ:</t>
        </is>
      </c>
      <c r="I65" s="151" t="n">
        <v>68</v>
      </c>
      <c r="J65" s="150" t="inlineStr">
        <is>
          <t>ПЛОЩАДЬ:</t>
        </is>
      </c>
      <c r="K65" s="151" t="n">
        <v>69</v>
      </c>
      <c r="L65" s="150" t="inlineStr">
        <is>
          <t>ПЛОЩАДЬ:</t>
        </is>
      </c>
      <c r="M65" s="151" t="n">
        <v>69</v>
      </c>
      <c r="N65" s="150" t="inlineStr">
        <is>
          <t>ПЛОЩАДЬ:</t>
        </is>
      </c>
      <c r="O65" s="151" t="n">
        <v>69</v>
      </c>
      <c r="P65" s="150" t="inlineStr">
        <is>
          <t>ПЛОЩАДЬ:</t>
        </is>
      </c>
      <c r="Q65" s="156" t="n">
        <v>70</v>
      </c>
      <c r="R65" s="225" t="n"/>
      <c r="S65" s="193" t="n"/>
      <c r="T65" s="150" t="inlineStr">
        <is>
          <t>ПЛОЩАДЬ:</t>
        </is>
      </c>
      <c r="U65" s="151" t="n">
        <v>68</v>
      </c>
      <c r="V65" s="150" t="inlineStr">
        <is>
          <t>ПЛОЩАДЬ:</t>
        </is>
      </c>
      <c r="W65" s="151" t="n">
        <v>69</v>
      </c>
      <c r="X65" s="150" t="inlineStr">
        <is>
          <t>ПЛОЩАДЬ:</t>
        </is>
      </c>
      <c r="Y65" s="151" t="n">
        <v>69</v>
      </c>
      <c r="Z65" s="150" t="inlineStr">
        <is>
          <t>ПЛОЩАДЬ:</t>
        </is>
      </c>
      <c r="AA65" s="151" t="n">
        <v>69</v>
      </c>
      <c r="AB65" s="150" t="inlineStr">
        <is>
          <t>ПЛОЩАДЬ:</t>
        </is>
      </c>
      <c r="AC65" s="151" t="n">
        <v>70</v>
      </c>
      <c r="AD65" s="150" t="inlineStr">
        <is>
          <t>ПЛОЩАДЬ:</t>
        </is>
      </c>
      <c r="AE65" s="151" t="n">
        <v>70</v>
      </c>
      <c r="AF65" s="150" t="inlineStr">
        <is>
          <t>ПЛОЩАДЬ:</t>
        </is>
      </c>
      <c r="AG65" s="151" t="n">
        <v>70</v>
      </c>
      <c r="AH65" s="150" t="inlineStr">
        <is>
          <t>ПЛОЩАДЬ:</t>
        </is>
      </c>
      <c r="AI65" s="156" t="n">
        <v>71</v>
      </c>
      <c r="AJ65" s="225" t="n"/>
      <c r="AK65" s="193" t="n"/>
      <c r="AL65" s="150" t="inlineStr">
        <is>
          <t>ПЛОЩАДЬ:</t>
        </is>
      </c>
      <c r="AM65" s="151" t="n">
        <v>69</v>
      </c>
      <c r="AN65" s="150" t="inlineStr">
        <is>
          <t>ПЛОЩАДЬ:</t>
        </is>
      </c>
      <c r="AO65" s="151" t="n">
        <v>70</v>
      </c>
      <c r="AP65" s="150" t="inlineStr">
        <is>
          <t>ПЛОЩАДЬ:</t>
        </is>
      </c>
      <c r="AQ65" s="151" t="n">
        <v>70</v>
      </c>
      <c r="AR65" s="150" t="inlineStr">
        <is>
          <t>ПЛОЩАДЬ:</t>
        </is>
      </c>
      <c r="AS65" s="151" t="n">
        <v>70</v>
      </c>
      <c r="AT65" s="150" t="inlineStr">
        <is>
          <t>ПЛОЩАДЬ:</t>
        </is>
      </c>
      <c r="AU65" s="151" t="n">
        <v>71</v>
      </c>
      <c r="AV65" s="150" t="inlineStr">
        <is>
          <t>ПЛОЩАДЬ:</t>
        </is>
      </c>
      <c r="AW65" s="151" t="n">
        <v>71</v>
      </c>
      <c r="AX65" s="150" t="inlineStr">
        <is>
          <t>ПЛОЩАДЬ:</t>
        </is>
      </c>
      <c r="AY65" s="151" t="n">
        <v>71</v>
      </c>
      <c r="AZ65" s="150" t="inlineStr">
        <is>
          <t>ПЛОЩАДЬ:</t>
        </is>
      </c>
      <c r="BA65" s="156" t="n">
        <v>72</v>
      </c>
      <c r="BB65" s="225" t="n"/>
      <c r="BC65" s="193" t="n"/>
      <c r="BD65" s="94" t="n"/>
    </row>
    <row r="66" ht="15.75" customHeight="1" s="163">
      <c r="A66" s="94" t="n"/>
      <c r="B66" s="222" t="inlineStr">
        <is>
          <t>ул. Двух Морей</t>
        </is>
      </c>
      <c r="C66" s="223" t="n"/>
      <c r="D66" s="223" t="n"/>
      <c r="E66" s="223" t="n"/>
      <c r="F66" s="223" t="n"/>
      <c r="G66" s="223" t="n"/>
      <c r="H66" s="223" t="n"/>
      <c r="I66" s="223" t="n"/>
      <c r="J66" s="223" t="n"/>
      <c r="K66" s="223" t="n"/>
      <c r="L66" s="223" t="n"/>
      <c r="M66" s="223" t="n"/>
      <c r="N66" s="223" t="n"/>
      <c r="O66" s="223" t="n"/>
      <c r="P66" s="223" t="n"/>
      <c r="Q66" s="182" t="n"/>
      <c r="R66" s="225" t="n"/>
      <c r="S66" s="193" t="n"/>
      <c r="T66" s="222" t="inlineStr">
        <is>
          <t>ул. Двух Морей</t>
        </is>
      </c>
      <c r="U66" s="223" t="n"/>
      <c r="V66" s="223" t="n"/>
      <c r="W66" s="223" t="n"/>
      <c r="X66" s="223" t="n"/>
      <c r="Y66" s="223" t="n"/>
      <c r="Z66" s="223" t="n"/>
      <c r="AA66" s="223" t="n"/>
      <c r="AB66" s="223" t="n"/>
      <c r="AC66" s="223" t="n"/>
      <c r="AD66" s="223" t="n"/>
      <c r="AE66" s="223" t="n"/>
      <c r="AF66" s="223" t="n"/>
      <c r="AG66" s="223" t="n"/>
      <c r="AH66" s="223" t="n"/>
      <c r="AI66" s="182" t="n"/>
      <c r="AJ66" s="225" t="n"/>
      <c r="AK66" s="193" t="n"/>
      <c r="AL66" s="222" t="inlineStr">
        <is>
          <t>ул. Двух Морей</t>
        </is>
      </c>
      <c r="AM66" s="223" t="n"/>
      <c r="AN66" s="223" t="n"/>
      <c r="AO66" s="223" t="n"/>
      <c r="AP66" s="223" t="n"/>
      <c r="AQ66" s="223" t="n"/>
      <c r="AR66" s="223" t="n"/>
      <c r="AS66" s="223" t="n"/>
      <c r="AT66" s="223" t="n"/>
      <c r="AU66" s="223" t="n"/>
      <c r="AV66" s="223" t="n"/>
      <c r="AW66" s="223" t="n"/>
      <c r="AX66" s="223" t="n"/>
      <c r="AY66" s="223" t="n"/>
      <c r="AZ66" s="223" t="n"/>
      <c r="BA66" s="182" t="n"/>
      <c r="BB66" s="225" t="n"/>
      <c r="BC66" s="193" t="n"/>
      <c r="BD66" s="94" t="n"/>
    </row>
    <row r="67" ht="15.75" customHeight="1" s="163">
      <c r="A67" s="94" t="n"/>
      <c r="B67" s="186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85" t="n"/>
      <c r="R67" s="225" t="n"/>
      <c r="S67" s="193" t="n"/>
      <c r="T67" s="186" t="n"/>
      <c r="U67" s="198" t="n"/>
      <c r="V67" s="198" t="n"/>
      <c r="W67" s="198" t="n"/>
      <c r="X67" s="198" t="n"/>
      <c r="Y67" s="198" t="n"/>
      <c r="Z67" s="198" t="n"/>
      <c r="AA67" s="198" t="n"/>
      <c r="AB67" s="198" t="n"/>
      <c r="AC67" s="198" t="n"/>
      <c r="AD67" s="198" t="n"/>
      <c r="AE67" s="198" t="n"/>
      <c r="AF67" s="198" t="n"/>
      <c r="AG67" s="198" t="n"/>
      <c r="AH67" s="198" t="n"/>
      <c r="AI67" s="185" t="n"/>
      <c r="AJ67" s="225" t="n"/>
      <c r="AK67" s="193" t="n"/>
      <c r="AL67" s="186" t="n"/>
      <c r="AM67" s="198" t="n"/>
      <c r="AN67" s="198" t="n"/>
      <c r="AO67" s="198" t="n"/>
      <c r="AP67" s="198" t="n"/>
      <c r="AQ67" s="198" t="n"/>
      <c r="AR67" s="198" t="n"/>
      <c r="AS67" s="198" t="n"/>
      <c r="AT67" s="198" t="n"/>
      <c r="AU67" s="198" t="n"/>
      <c r="AV67" s="198" t="n"/>
      <c r="AW67" s="198" t="n"/>
      <c r="AX67" s="198" t="n"/>
      <c r="AY67" s="198" t="n"/>
      <c r="AZ67" s="198" t="n"/>
      <c r="BA67" s="185" t="n"/>
      <c r="BB67" s="225" t="n"/>
      <c r="BC67" s="193" t="n"/>
      <c r="BD67" s="94" t="n"/>
    </row>
    <row r="68" ht="15.75" customHeight="1" s="163">
      <c r="A68" s="94" t="n"/>
      <c r="B68" s="146" t="inlineStr">
        <is>
          <t>№ 6</t>
        </is>
      </c>
      <c r="C68" s="147" t="inlineStr">
        <is>
          <t>Коммерция</t>
        </is>
      </c>
      <c r="D68" s="146" t="inlineStr">
        <is>
          <t>№ 7</t>
        </is>
      </c>
      <c r="E68" s="147" t="inlineStr">
        <is>
          <t>Коммерция</t>
        </is>
      </c>
      <c r="F68" s="146" t="inlineStr">
        <is>
          <t>№ 7</t>
        </is>
      </c>
      <c r="G68" s="147" t="inlineStr">
        <is>
          <t>Коммерция</t>
        </is>
      </c>
      <c r="H68" s="146" t="inlineStr">
        <is>
          <t>№ 7</t>
        </is>
      </c>
      <c r="I68" s="147" t="inlineStr">
        <is>
          <t>Коммерция</t>
        </is>
      </c>
      <c r="J68" s="146" t="inlineStr">
        <is>
          <t>№ 8</t>
        </is>
      </c>
      <c r="K68" s="147" t="inlineStr">
        <is>
          <t>Коммерция</t>
        </is>
      </c>
      <c r="L68" s="146" t="inlineStr">
        <is>
          <t>№ 8</t>
        </is>
      </c>
      <c r="M68" s="147" t="inlineStr">
        <is>
          <t>Коммерция</t>
        </is>
      </c>
      <c r="N68" s="146" t="inlineStr">
        <is>
          <t>№ 8</t>
        </is>
      </c>
      <c r="O68" s="147" t="inlineStr">
        <is>
          <t>Коммерция</t>
        </is>
      </c>
      <c r="P68" s="146" t="inlineStr">
        <is>
          <t>№ 9</t>
        </is>
      </c>
      <c r="Q68" s="154" t="inlineStr">
        <is>
          <t>Коммерция</t>
        </is>
      </c>
      <c r="R68" s="225" t="n"/>
      <c r="S68" s="193" t="n"/>
      <c r="T68" s="146" t="inlineStr">
        <is>
          <t>№ 7</t>
        </is>
      </c>
      <c r="U68" s="147" t="inlineStr">
        <is>
          <t>Коммерция</t>
        </is>
      </c>
      <c r="V68" s="146" t="inlineStr">
        <is>
          <t>№ 8</t>
        </is>
      </c>
      <c r="W68" s="147" t="inlineStr">
        <is>
          <t>Коммерция</t>
        </is>
      </c>
      <c r="X68" s="146" t="inlineStr">
        <is>
          <t>№ 8</t>
        </is>
      </c>
      <c r="Y68" s="147" t="inlineStr">
        <is>
          <t>Коммерция</t>
        </is>
      </c>
      <c r="Z68" s="146" t="inlineStr">
        <is>
          <t>№ 8</t>
        </is>
      </c>
      <c r="AA68" s="147" t="inlineStr">
        <is>
          <t>Коммерция</t>
        </is>
      </c>
      <c r="AB68" s="146" t="inlineStr">
        <is>
          <t>№ 9</t>
        </is>
      </c>
      <c r="AC68" s="147" t="inlineStr">
        <is>
          <t>Коммерция</t>
        </is>
      </c>
      <c r="AD68" s="146" t="inlineStr">
        <is>
          <t>№ 9</t>
        </is>
      </c>
      <c r="AE68" s="147" t="inlineStr">
        <is>
          <t>Коммерция</t>
        </is>
      </c>
      <c r="AF68" s="146" t="inlineStr">
        <is>
          <t>№ 9</t>
        </is>
      </c>
      <c r="AG68" s="147" t="inlineStr">
        <is>
          <t>Коммерция</t>
        </is>
      </c>
      <c r="AH68" s="146" t="inlineStr">
        <is>
          <t>№ 10</t>
        </is>
      </c>
      <c r="AI68" s="154" t="inlineStr">
        <is>
          <t>Коммерция</t>
        </is>
      </c>
      <c r="AJ68" s="225" t="n"/>
      <c r="AK68" s="193" t="n"/>
      <c r="AL68" s="146" t="inlineStr">
        <is>
          <t>№ 8</t>
        </is>
      </c>
      <c r="AM68" s="147" t="inlineStr">
        <is>
          <t>Коммерция</t>
        </is>
      </c>
      <c r="AN68" s="146" t="inlineStr">
        <is>
          <t>№ 9</t>
        </is>
      </c>
      <c r="AO68" s="147" t="inlineStr">
        <is>
          <t>Коммерция</t>
        </is>
      </c>
      <c r="AP68" s="146" t="inlineStr">
        <is>
          <t>№ 9</t>
        </is>
      </c>
      <c r="AQ68" s="147" t="inlineStr">
        <is>
          <t>Коммерция</t>
        </is>
      </c>
      <c r="AR68" s="146" t="inlineStr">
        <is>
          <t>№ 9</t>
        </is>
      </c>
      <c r="AS68" s="147" t="inlineStr">
        <is>
          <t>Коммерция</t>
        </is>
      </c>
      <c r="AT68" s="146" t="inlineStr">
        <is>
          <t>№ 10</t>
        </is>
      </c>
      <c r="AU68" s="147" t="inlineStr">
        <is>
          <t>Коммерция</t>
        </is>
      </c>
      <c r="AV68" s="146" t="inlineStr">
        <is>
          <t>№ 10</t>
        </is>
      </c>
      <c r="AW68" s="147" t="inlineStr">
        <is>
          <t>Коммерция</t>
        </is>
      </c>
      <c r="AX68" s="146" t="inlineStr">
        <is>
          <t>№ 10</t>
        </is>
      </c>
      <c r="AY68" s="147" t="inlineStr">
        <is>
          <t>Коммерция</t>
        </is>
      </c>
      <c r="AZ68" s="146" t="inlineStr">
        <is>
          <t>№ 11</t>
        </is>
      </c>
      <c r="BA68" s="154" t="inlineStr">
        <is>
          <t>Коммерция</t>
        </is>
      </c>
      <c r="BB68" s="225" t="n"/>
      <c r="BC68" s="193" t="n"/>
      <c r="BD68" s="94" t="n"/>
    </row>
    <row r="69" ht="15.75" customHeight="1" s="163">
      <c r="A69" s="94" t="n"/>
      <c r="B69" s="148" t="inlineStr">
        <is>
          <t>ЦЕНА:</t>
        </is>
      </c>
      <c r="C69" s="149" t="inlineStr">
        <is>
          <t>ПРОДАНО</t>
        </is>
      </c>
      <c r="D69" s="148" t="inlineStr">
        <is>
          <t>ЦЕНА:</t>
        </is>
      </c>
      <c r="E69" s="149" t="inlineStr">
        <is>
          <t>ПРОДАНО</t>
        </is>
      </c>
      <c r="F69" s="148" t="inlineStr">
        <is>
          <t>ЦЕНА:</t>
        </is>
      </c>
      <c r="G69" s="149" t="inlineStr">
        <is>
          <t>ПРОДАНО</t>
        </is>
      </c>
      <c r="H69" s="148" t="inlineStr">
        <is>
          <t>ЦЕНА:</t>
        </is>
      </c>
      <c r="I69" s="149" t="inlineStr">
        <is>
          <t>ПРОДАНО</t>
        </is>
      </c>
      <c r="J69" s="148" t="inlineStr">
        <is>
          <t>ЦЕНА:</t>
        </is>
      </c>
      <c r="K69" s="149" t="inlineStr">
        <is>
          <t>ПРОДАНО</t>
        </is>
      </c>
      <c r="L69" s="148" t="inlineStr">
        <is>
          <t>ЦЕНА:</t>
        </is>
      </c>
      <c r="M69" s="149" t="inlineStr">
        <is>
          <t>ПРОДАНО</t>
        </is>
      </c>
      <c r="N69" s="148" t="inlineStr">
        <is>
          <t>ЦЕНА:</t>
        </is>
      </c>
      <c r="O69" s="149" t="inlineStr">
        <is>
          <t>ПРОДАНО</t>
        </is>
      </c>
      <c r="P69" s="148" t="inlineStr">
        <is>
          <t>ЦЕНА:</t>
        </is>
      </c>
      <c r="Q69" s="155" t="inlineStr">
        <is>
          <t>ПРОДАНО</t>
        </is>
      </c>
      <c r="R69" s="225" t="n"/>
      <c r="S69" s="193" t="n"/>
      <c r="T69" s="148" t="inlineStr">
        <is>
          <t>ЦЕНА:</t>
        </is>
      </c>
      <c r="U69" s="149" t="inlineStr">
        <is>
          <t>ПРОДАНО</t>
        </is>
      </c>
      <c r="V69" s="148" t="inlineStr">
        <is>
          <t>ЦЕНА:</t>
        </is>
      </c>
      <c r="W69" s="149" t="inlineStr">
        <is>
          <t>ПРОДАНО</t>
        </is>
      </c>
      <c r="X69" s="148" t="inlineStr">
        <is>
          <t>ЦЕНА:</t>
        </is>
      </c>
      <c r="Y69" s="149" t="inlineStr">
        <is>
          <t>ПРОДАНО</t>
        </is>
      </c>
      <c r="Z69" s="148" t="inlineStr">
        <is>
          <t>ЦЕНА:</t>
        </is>
      </c>
      <c r="AA69" s="149" t="inlineStr">
        <is>
          <t>ПРОДАНО</t>
        </is>
      </c>
      <c r="AB69" s="148" t="inlineStr">
        <is>
          <t>ЦЕНА:</t>
        </is>
      </c>
      <c r="AC69" s="149" t="inlineStr">
        <is>
          <t>ПРОДАНО</t>
        </is>
      </c>
      <c r="AD69" s="148" t="inlineStr">
        <is>
          <t>ЦЕНА:</t>
        </is>
      </c>
      <c r="AE69" s="149" t="inlineStr">
        <is>
          <t>ПРОДАНО</t>
        </is>
      </c>
      <c r="AF69" s="148" t="inlineStr">
        <is>
          <t>ЦЕНА:</t>
        </is>
      </c>
      <c r="AG69" s="149" t="inlineStr">
        <is>
          <t>ПРОДАНО</t>
        </is>
      </c>
      <c r="AH69" s="148" t="inlineStr">
        <is>
          <t>ЦЕНА:</t>
        </is>
      </c>
      <c r="AI69" s="155" t="inlineStr">
        <is>
          <t>ПРОДАНО</t>
        </is>
      </c>
      <c r="AJ69" s="225" t="n"/>
      <c r="AK69" s="193" t="n"/>
      <c r="AL69" s="148" t="inlineStr">
        <is>
          <t>ЦЕНА:</t>
        </is>
      </c>
      <c r="AM69" s="149" t="inlineStr">
        <is>
          <t>ПРОДАНО</t>
        </is>
      </c>
      <c r="AN69" s="148" t="inlineStr">
        <is>
          <t>ЦЕНА:</t>
        </is>
      </c>
      <c r="AO69" s="149" t="inlineStr">
        <is>
          <t>ПРОДАНО</t>
        </is>
      </c>
      <c r="AP69" s="148" t="inlineStr">
        <is>
          <t>ЦЕНА:</t>
        </is>
      </c>
      <c r="AQ69" s="149" t="inlineStr">
        <is>
          <t>ПРОДАНО</t>
        </is>
      </c>
      <c r="AR69" s="148" t="inlineStr">
        <is>
          <t>ЦЕНА:</t>
        </is>
      </c>
      <c r="AS69" s="149" t="inlineStr">
        <is>
          <t>ПРОДАНО</t>
        </is>
      </c>
      <c r="AT69" s="148" t="inlineStr">
        <is>
          <t>ЦЕНА:</t>
        </is>
      </c>
      <c r="AU69" s="149" t="inlineStr">
        <is>
          <t>ПРОДАНО</t>
        </is>
      </c>
      <c r="AV69" s="148" t="inlineStr">
        <is>
          <t>ЦЕНА:</t>
        </is>
      </c>
      <c r="AW69" s="149" t="inlineStr">
        <is>
          <t>ПРОДАНО</t>
        </is>
      </c>
      <c r="AX69" s="148" t="inlineStr">
        <is>
          <t>ЦЕНА:</t>
        </is>
      </c>
      <c r="AY69" s="149" t="inlineStr">
        <is>
          <t>ПРОДАНО</t>
        </is>
      </c>
      <c r="AZ69" s="148" t="inlineStr">
        <is>
          <t>ЦЕНА:</t>
        </is>
      </c>
      <c r="BA69" s="155" t="inlineStr">
        <is>
          <t>ПРОДАНО</t>
        </is>
      </c>
      <c r="BB69" s="225" t="n"/>
      <c r="BC69" s="193" t="n"/>
      <c r="BD69" s="94" t="n"/>
    </row>
    <row r="70" ht="15.75" customHeight="1" s="163">
      <c r="A70" s="94" t="n"/>
      <c r="B70" s="150" t="inlineStr">
        <is>
          <t>ПЛОЩАДЬ:</t>
        </is>
      </c>
      <c r="C70" s="151" t="n">
        <v>67</v>
      </c>
      <c r="D70" s="150" t="inlineStr">
        <is>
          <t>ПЛОЩАДЬ:</t>
        </is>
      </c>
      <c r="E70" s="151" t="n">
        <v>68</v>
      </c>
      <c r="F70" s="150" t="inlineStr">
        <is>
          <t>ПЛОЩАДЬ:</t>
        </is>
      </c>
      <c r="G70" s="151" t="n">
        <v>68</v>
      </c>
      <c r="H70" s="150" t="inlineStr">
        <is>
          <t>ПЛОЩАДЬ:</t>
        </is>
      </c>
      <c r="I70" s="151" t="n">
        <v>68</v>
      </c>
      <c r="J70" s="150" t="inlineStr">
        <is>
          <t>ПЛОЩАДЬ:</t>
        </is>
      </c>
      <c r="K70" s="151" t="n">
        <v>69</v>
      </c>
      <c r="L70" s="150" t="inlineStr">
        <is>
          <t>ПЛОЩАДЬ:</t>
        </is>
      </c>
      <c r="M70" s="151" t="n">
        <v>69</v>
      </c>
      <c r="N70" s="150" t="inlineStr">
        <is>
          <t>ПЛОЩАДЬ:</t>
        </is>
      </c>
      <c r="O70" s="151" t="n">
        <v>69</v>
      </c>
      <c r="P70" s="150" t="inlineStr">
        <is>
          <t>ПЛОЩАДЬ:</t>
        </is>
      </c>
      <c r="Q70" s="156" t="n">
        <v>70</v>
      </c>
      <c r="R70" s="225" t="n"/>
      <c r="S70" s="193" t="n"/>
      <c r="T70" s="150" t="inlineStr">
        <is>
          <t>ПЛОЩАДЬ:</t>
        </is>
      </c>
      <c r="U70" s="151" t="n">
        <v>68</v>
      </c>
      <c r="V70" s="150" t="inlineStr">
        <is>
          <t>ПЛОЩАДЬ:</t>
        </is>
      </c>
      <c r="W70" s="151" t="n">
        <v>69</v>
      </c>
      <c r="X70" s="150" t="inlineStr">
        <is>
          <t>ПЛОЩАДЬ:</t>
        </is>
      </c>
      <c r="Y70" s="151" t="n">
        <v>69</v>
      </c>
      <c r="Z70" s="150" t="inlineStr">
        <is>
          <t>ПЛОЩАДЬ:</t>
        </is>
      </c>
      <c r="AA70" s="151" t="n">
        <v>69</v>
      </c>
      <c r="AB70" s="150" t="inlineStr">
        <is>
          <t>ПЛОЩАДЬ:</t>
        </is>
      </c>
      <c r="AC70" s="151" t="n">
        <v>70</v>
      </c>
      <c r="AD70" s="150" t="inlineStr">
        <is>
          <t>ПЛОЩАДЬ:</t>
        </is>
      </c>
      <c r="AE70" s="151" t="n">
        <v>70</v>
      </c>
      <c r="AF70" s="150" t="inlineStr">
        <is>
          <t>ПЛОЩАДЬ:</t>
        </is>
      </c>
      <c r="AG70" s="151" t="n">
        <v>70</v>
      </c>
      <c r="AH70" s="150" t="inlineStr">
        <is>
          <t>ПЛОЩАДЬ:</t>
        </is>
      </c>
      <c r="AI70" s="156" t="n">
        <v>71</v>
      </c>
      <c r="AJ70" s="225" t="n"/>
      <c r="AK70" s="193" t="n"/>
      <c r="AL70" s="150" t="inlineStr">
        <is>
          <t>ПЛОЩАДЬ:</t>
        </is>
      </c>
      <c r="AM70" s="151" t="n">
        <v>69</v>
      </c>
      <c r="AN70" s="150" t="inlineStr">
        <is>
          <t>ПЛОЩАДЬ:</t>
        </is>
      </c>
      <c r="AO70" s="151" t="n">
        <v>70</v>
      </c>
      <c r="AP70" s="150" t="inlineStr">
        <is>
          <t>ПЛОЩАДЬ:</t>
        </is>
      </c>
      <c r="AQ70" s="151" t="n">
        <v>70</v>
      </c>
      <c r="AR70" s="150" t="inlineStr">
        <is>
          <t>ПЛОЩАДЬ:</t>
        </is>
      </c>
      <c r="AS70" s="151" t="n">
        <v>70</v>
      </c>
      <c r="AT70" s="150" t="inlineStr">
        <is>
          <t>ПЛОЩАДЬ:</t>
        </is>
      </c>
      <c r="AU70" s="151" t="n">
        <v>71</v>
      </c>
      <c r="AV70" s="150" t="inlineStr">
        <is>
          <t>ПЛОЩАДЬ:</t>
        </is>
      </c>
      <c r="AW70" s="151" t="n">
        <v>71</v>
      </c>
      <c r="AX70" s="150" t="inlineStr">
        <is>
          <t>ПЛОЩАДЬ:</t>
        </is>
      </c>
      <c r="AY70" s="151" t="n">
        <v>71</v>
      </c>
      <c r="AZ70" s="150" t="inlineStr">
        <is>
          <t>ПЛОЩАДЬ:</t>
        </is>
      </c>
      <c r="BA70" s="156" t="n">
        <v>72</v>
      </c>
      <c r="BB70" s="225" t="n"/>
      <c r="BC70" s="193" t="n"/>
      <c r="BD70" s="94" t="n"/>
    </row>
    <row r="71" ht="15.75" customHeight="1" s="163">
      <c r="A71" s="94" t="n"/>
      <c r="B71" s="146" t="inlineStr">
        <is>
          <t>№ 7</t>
        </is>
      </c>
      <c r="C71" s="147" t="inlineStr">
        <is>
          <t>Коммерция</t>
        </is>
      </c>
      <c r="D71" s="146" t="inlineStr">
        <is>
          <t>№ 8</t>
        </is>
      </c>
      <c r="E71" s="147" t="inlineStr">
        <is>
          <t>Коммерция</t>
        </is>
      </c>
      <c r="F71" s="146" t="inlineStr">
        <is>
          <t>№ 8</t>
        </is>
      </c>
      <c r="G71" s="147" t="inlineStr">
        <is>
          <t>Коммерция</t>
        </is>
      </c>
      <c r="H71" s="146" t="inlineStr">
        <is>
          <t>№ 8</t>
        </is>
      </c>
      <c r="I71" s="147" t="inlineStr">
        <is>
          <t>Коммерция</t>
        </is>
      </c>
      <c r="J71" s="146" t="inlineStr">
        <is>
          <t>№ 9</t>
        </is>
      </c>
      <c r="K71" s="147" t="inlineStr">
        <is>
          <t>Коммерция</t>
        </is>
      </c>
      <c r="L71" s="146" t="inlineStr">
        <is>
          <t>№ 9</t>
        </is>
      </c>
      <c r="M71" s="147" t="inlineStr">
        <is>
          <t>Коммерция</t>
        </is>
      </c>
      <c r="N71" s="146" t="inlineStr">
        <is>
          <t>№ 9</t>
        </is>
      </c>
      <c r="O71" s="147" t="inlineStr">
        <is>
          <t>Коммерция</t>
        </is>
      </c>
      <c r="P71" s="146" t="inlineStr">
        <is>
          <t>№ 10</t>
        </is>
      </c>
      <c r="Q71" s="154" t="inlineStr">
        <is>
          <t>Коммерция</t>
        </is>
      </c>
      <c r="R71" s="225" t="n"/>
      <c r="S71" s="193" t="n"/>
      <c r="T71" s="146" t="inlineStr">
        <is>
          <t>№ 8</t>
        </is>
      </c>
      <c r="U71" s="147" t="inlineStr">
        <is>
          <t>Коммерция</t>
        </is>
      </c>
      <c r="V71" s="146" t="inlineStr">
        <is>
          <t>№ 9</t>
        </is>
      </c>
      <c r="W71" s="147" t="inlineStr">
        <is>
          <t>Коммерция</t>
        </is>
      </c>
      <c r="X71" s="146" t="inlineStr">
        <is>
          <t>№ 9</t>
        </is>
      </c>
      <c r="Y71" s="147" t="inlineStr">
        <is>
          <t>Коммерция</t>
        </is>
      </c>
      <c r="Z71" s="146" t="inlineStr">
        <is>
          <t>№ 9</t>
        </is>
      </c>
      <c r="AA71" s="147" t="inlineStr">
        <is>
          <t>Коммерция</t>
        </is>
      </c>
      <c r="AB71" s="146" t="inlineStr">
        <is>
          <t>№ 10</t>
        </is>
      </c>
      <c r="AC71" s="147" t="inlineStr">
        <is>
          <t>Коммерция</t>
        </is>
      </c>
      <c r="AD71" s="146" t="inlineStr">
        <is>
          <t>№ 10</t>
        </is>
      </c>
      <c r="AE71" s="147" t="inlineStr">
        <is>
          <t>Коммерция</t>
        </is>
      </c>
      <c r="AF71" s="146" t="inlineStr">
        <is>
          <t>№ 10</t>
        </is>
      </c>
      <c r="AG71" s="147" t="inlineStr">
        <is>
          <t>Коммерция</t>
        </is>
      </c>
      <c r="AH71" s="146" t="inlineStr">
        <is>
          <t>№ 11</t>
        </is>
      </c>
      <c r="AI71" s="154" t="inlineStr">
        <is>
          <t>Коммерция</t>
        </is>
      </c>
      <c r="AJ71" s="225" t="n"/>
      <c r="AK71" s="193" t="n"/>
      <c r="AL71" s="146" t="inlineStr">
        <is>
          <t>№ 9</t>
        </is>
      </c>
      <c r="AM71" s="147" t="inlineStr">
        <is>
          <t>Коммерция</t>
        </is>
      </c>
      <c r="AN71" s="146" t="inlineStr">
        <is>
          <t>№ 10</t>
        </is>
      </c>
      <c r="AO71" s="147" t="inlineStr">
        <is>
          <t>Коммерция</t>
        </is>
      </c>
      <c r="AP71" s="146" t="inlineStr">
        <is>
          <t>№ 10</t>
        </is>
      </c>
      <c r="AQ71" s="147" t="inlineStr">
        <is>
          <t>Коммерция</t>
        </is>
      </c>
      <c r="AR71" s="146" t="inlineStr">
        <is>
          <t>№ 10</t>
        </is>
      </c>
      <c r="AS71" s="147" t="inlineStr">
        <is>
          <t>Коммерция</t>
        </is>
      </c>
      <c r="AT71" s="146" t="inlineStr">
        <is>
          <t>№ 11</t>
        </is>
      </c>
      <c r="AU71" s="147" t="inlineStr">
        <is>
          <t>Коммерция</t>
        </is>
      </c>
      <c r="AV71" s="146" t="inlineStr">
        <is>
          <t>№ 11</t>
        </is>
      </c>
      <c r="AW71" s="147" t="inlineStr">
        <is>
          <t>Коммерция</t>
        </is>
      </c>
      <c r="AX71" s="146" t="inlineStr">
        <is>
          <t>№ 11</t>
        </is>
      </c>
      <c r="AY71" s="147" t="inlineStr">
        <is>
          <t>Коммерция</t>
        </is>
      </c>
      <c r="AZ71" s="146" t="inlineStr">
        <is>
          <t>№ 12</t>
        </is>
      </c>
      <c r="BA71" s="154" t="inlineStr">
        <is>
          <t>Коммерция</t>
        </is>
      </c>
      <c r="BB71" s="225" t="n"/>
      <c r="BC71" s="193" t="n"/>
      <c r="BD71" s="94" t="n"/>
    </row>
    <row r="72" ht="15.75" customHeight="1" s="163">
      <c r="A72" s="94" t="n"/>
      <c r="B72" s="148" t="inlineStr">
        <is>
          <t>ЦЕНА:</t>
        </is>
      </c>
      <c r="C72" s="149" t="inlineStr">
        <is>
          <t>ПРОДАНО</t>
        </is>
      </c>
      <c r="D72" s="148" t="inlineStr">
        <is>
          <t>ЦЕНА:</t>
        </is>
      </c>
      <c r="E72" s="149" t="inlineStr">
        <is>
          <t>ПРОДАНО</t>
        </is>
      </c>
      <c r="F72" s="148" t="inlineStr">
        <is>
          <t>ЦЕНА:</t>
        </is>
      </c>
      <c r="G72" s="149" t="inlineStr">
        <is>
          <t>ПРОДАНО</t>
        </is>
      </c>
      <c r="H72" s="148" t="inlineStr">
        <is>
          <t>ЦЕНА:</t>
        </is>
      </c>
      <c r="I72" s="149" t="inlineStr">
        <is>
          <t>ПРОДАНО</t>
        </is>
      </c>
      <c r="J72" s="148" t="inlineStr">
        <is>
          <t>ЦЕНА:</t>
        </is>
      </c>
      <c r="K72" s="149" t="inlineStr">
        <is>
          <t>ПРОДАНО</t>
        </is>
      </c>
      <c r="L72" s="148" t="inlineStr">
        <is>
          <t>ЦЕНА:</t>
        </is>
      </c>
      <c r="M72" s="149" t="inlineStr">
        <is>
          <t>ПРОДАНО</t>
        </is>
      </c>
      <c r="N72" s="148" t="inlineStr">
        <is>
          <t>ЦЕНА:</t>
        </is>
      </c>
      <c r="O72" s="149" t="inlineStr">
        <is>
          <t>ПРОДАНО</t>
        </is>
      </c>
      <c r="P72" s="148" t="inlineStr">
        <is>
          <t>ЦЕНА:</t>
        </is>
      </c>
      <c r="Q72" s="155" t="inlineStr">
        <is>
          <t>ПРОДАНО</t>
        </is>
      </c>
      <c r="R72" s="225" t="n"/>
      <c r="S72" s="193" t="n"/>
      <c r="T72" s="148" t="inlineStr">
        <is>
          <t>ЦЕНА:</t>
        </is>
      </c>
      <c r="U72" s="149" t="inlineStr">
        <is>
          <t>ПРОДАНО</t>
        </is>
      </c>
      <c r="V72" s="148" t="inlineStr">
        <is>
          <t>ЦЕНА:</t>
        </is>
      </c>
      <c r="W72" s="149" t="inlineStr">
        <is>
          <t>ПРОДАНО</t>
        </is>
      </c>
      <c r="X72" s="148" t="inlineStr">
        <is>
          <t>ЦЕНА:</t>
        </is>
      </c>
      <c r="Y72" s="149" t="inlineStr">
        <is>
          <t>ПРОДАНО</t>
        </is>
      </c>
      <c r="Z72" s="148" t="inlineStr">
        <is>
          <t>ЦЕНА:</t>
        </is>
      </c>
      <c r="AA72" s="149" t="inlineStr">
        <is>
          <t>ПРОДАНО</t>
        </is>
      </c>
      <c r="AB72" s="148" t="inlineStr">
        <is>
          <t>ЦЕНА:</t>
        </is>
      </c>
      <c r="AC72" s="149" t="inlineStr">
        <is>
          <t>ПРОДАНО</t>
        </is>
      </c>
      <c r="AD72" s="148" t="inlineStr">
        <is>
          <t>ЦЕНА:</t>
        </is>
      </c>
      <c r="AE72" s="149" t="inlineStr">
        <is>
          <t>ПРОДАНО</t>
        </is>
      </c>
      <c r="AF72" s="148" t="inlineStr">
        <is>
          <t>ЦЕНА:</t>
        </is>
      </c>
      <c r="AG72" s="149" t="inlineStr">
        <is>
          <t>ПРОДАНО</t>
        </is>
      </c>
      <c r="AH72" s="148" t="inlineStr">
        <is>
          <t>ЦЕНА:</t>
        </is>
      </c>
      <c r="AI72" s="155" t="inlineStr">
        <is>
          <t>ПРОДАНО</t>
        </is>
      </c>
      <c r="AJ72" s="225" t="n"/>
      <c r="AK72" s="193" t="n"/>
      <c r="AL72" s="148" t="inlineStr">
        <is>
          <t>ЦЕНА:</t>
        </is>
      </c>
      <c r="AM72" s="149" t="inlineStr">
        <is>
          <t>ПРОДАНО</t>
        </is>
      </c>
      <c r="AN72" s="148" t="inlineStr">
        <is>
          <t>ЦЕНА:</t>
        </is>
      </c>
      <c r="AO72" s="149" t="inlineStr">
        <is>
          <t>ПРОДАНО</t>
        </is>
      </c>
      <c r="AP72" s="148" t="inlineStr">
        <is>
          <t>ЦЕНА:</t>
        </is>
      </c>
      <c r="AQ72" s="149" t="inlineStr">
        <is>
          <t>ПРОДАНО</t>
        </is>
      </c>
      <c r="AR72" s="148" t="inlineStr">
        <is>
          <t>ЦЕНА:</t>
        </is>
      </c>
      <c r="AS72" s="149" t="inlineStr">
        <is>
          <t>ПРОДАНО</t>
        </is>
      </c>
      <c r="AT72" s="148" t="inlineStr">
        <is>
          <t>ЦЕНА:</t>
        </is>
      </c>
      <c r="AU72" s="149" t="inlineStr">
        <is>
          <t>ПРОДАНО</t>
        </is>
      </c>
      <c r="AV72" s="148" t="inlineStr">
        <is>
          <t>ЦЕНА:</t>
        </is>
      </c>
      <c r="AW72" s="149" t="inlineStr">
        <is>
          <t>ПРОДАНО</t>
        </is>
      </c>
      <c r="AX72" s="148" t="inlineStr">
        <is>
          <t>ЦЕНА:</t>
        </is>
      </c>
      <c r="AY72" s="149" t="inlineStr">
        <is>
          <t>ПРОДАНО</t>
        </is>
      </c>
      <c r="AZ72" s="148" t="inlineStr">
        <is>
          <t>ЦЕНА:</t>
        </is>
      </c>
      <c r="BA72" s="155" t="inlineStr">
        <is>
          <t>ПРОДАНО</t>
        </is>
      </c>
      <c r="BB72" s="225" t="n"/>
      <c r="BC72" s="193" t="n"/>
      <c r="BD72" s="94" t="n"/>
    </row>
    <row r="73" ht="15.75" customHeight="1" s="163">
      <c r="A73" s="94" t="n"/>
      <c r="B73" s="150" t="inlineStr">
        <is>
          <t>ПЛОЩАДЬ:</t>
        </is>
      </c>
      <c r="C73" s="151" t="n">
        <v>68</v>
      </c>
      <c r="D73" s="150" t="inlineStr">
        <is>
          <t>ПЛОЩАДЬ:</t>
        </is>
      </c>
      <c r="E73" s="151" t="n">
        <v>69</v>
      </c>
      <c r="F73" s="150" t="inlineStr">
        <is>
          <t>ПЛОЩАДЬ:</t>
        </is>
      </c>
      <c r="G73" s="151" t="n">
        <v>69</v>
      </c>
      <c r="H73" s="150" t="inlineStr">
        <is>
          <t>ПЛОЩАДЬ:</t>
        </is>
      </c>
      <c r="I73" s="151" t="n">
        <v>69</v>
      </c>
      <c r="J73" s="150" t="inlineStr">
        <is>
          <t>ПЛОЩАДЬ:</t>
        </is>
      </c>
      <c r="K73" s="151" t="n">
        <v>70</v>
      </c>
      <c r="L73" s="150" t="inlineStr">
        <is>
          <t>ПЛОЩАДЬ:</t>
        </is>
      </c>
      <c r="M73" s="151" t="n">
        <v>70</v>
      </c>
      <c r="N73" s="150" t="inlineStr">
        <is>
          <t>ПЛОЩАДЬ:</t>
        </is>
      </c>
      <c r="O73" s="151" t="n">
        <v>70</v>
      </c>
      <c r="P73" s="150" t="inlineStr">
        <is>
          <t>ПЛОЩАДЬ:</t>
        </is>
      </c>
      <c r="Q73" s="156" t="n">
        <v>71</v>
      </c>
      <c r="R73" s="225" t="n"/>
      <c r="S73" s="193" t="n"/>
      <c r="T73" s="150" t="inlineStr">
        <is>
          <t>ПЛОЩАДЬ:</t>
        </is>
      </c>
      <c r="U73" s="151" t="n">
        <v>69</v>
      </c>
      <c r="V73" s="150" t="inlineStr">
        <is>
          <t>ПЛОЩАДЬ:</t>
        </is>
      </c>
      <c r="W73" s="151" t="n">
        <v>70</v>
      </c>
      <c r="X73" s="150" t="inlineStr">
        <is>
          <t>ПЛОЩАДЬ:</t>
        </is>
      </c>
      <c r="Y73" s="151" t="n">
        <v>70</v>
      </c>
      <c r="Z73" s="150" t="inlineStr">
        <is>
          <t>ПЛОЩАДЬ:</t>
        </is>
      </c>
      <c r="AA73" s="151" t="n">
        <v>70</v>
      </c>
      <c r="AB73" s="150" t="inlineStr">
        <is>
          <t>ПЛОЩАДЬ:</t>
        </is>
      </c>
      <c r="AC73" s="151" t="n">
        <v>71</v>
      </c>
      <c r="AD73" s="150" t="inlineStr">
        <is>
          <t>ПЛОЩАДЬ:</t>
        </is>
      </c>
      <c r="AE73" s="151" t="n">
        <v>71</v>
      </c>
      <c r="AF73" s="150" t="inlineStr">
        <is>
          <t>ПЛОЩАДЬ:</t>
        </is>
      </c>
      <c r="AG73" s="151" t="n">
        <v>71</v>
      </c>
      <c r="AH73" s="150" t="inlineStr">
        <is>
          <t>ПЛОЩАДЬ:</t>
        </is>
      </c>
      <c r="AI73" s="156" t="n">
        <v>72</v>
      </c>
      <c r="AJ73" s="225" t="n"/>
      <c r="AK73" s="193" t="n"/>
      <c r="AL73" s="150" t="inlineStr">
        <is>
          <t>ПЛОЩАДЬ:</t>
        </is>
      </c>
      <c r="AM73" s="151" t="n">
        <v>70</v>
      </c>
      <c r="AN73" s="150" t="inlineStr">
        <is>
          <t>ПЛОЩАДЬ:</t>
        </is>
      </c>
      <c r="AO73" s="151" t="n">
        <v>71</v>
      </c>
      <c r="AP73" s="150" t="inlineStr">
        <is>
          <t>ПЛОЩАДЬ:</t>
        </is>
      </c>
      <c r="AQ73" s="151" t="n">
        <v>71</v>
      </c>
      <c r="AR73" s="150" t="inlineStr">
        <is>
          <t>ПЛОЩАДЬ:</t>
        </is>
      </c>
      <c r="AS73" s="151" t="n">
        <v>71</v>
      </c>
      <c r="AT73" s="150" t="inlineStr">
        <is>
          <t>ПЛОЩАДЬ:</t>
        </is>
      </c>
      <c r="AU73" s="151" t="n">
        <v>72</v>
      </c>
      <c r="AV73" s="150" t="inlineStr">
        <is>
          <t>ПЛОЩАДЬ:</t>
        </is>
      </c>
      <c r="AW73" s="151" t="n">
        <v>72</v>
      </c>
      <c r="AX73" s="150" t="inlineStr">
        <is>
          <t>ПЛОЩАДЬ:</t>
        </is>
      </c>
      <c r="AY73" s="151" t="n">
        <v>72</v>
      </c>
      <c r="AZ73" s="150" t="inlineStr">
        <is>
          <t>ПЛОЩАДЬ:</t>
        </is>
      </c>
      <c r="BA73" s="156" t="n">
        <v>73</v>
      </c>
      <c r="BB73" s="225" t="n"/>
      <c r="BC73" s="193" t="n"/>
      <c r="BD73" s="94" t="n"/>
    </row>
    <row r="74" ht="15.75" customHeight="1" s="163">
      <c r="A74" s="94" t="n"/>
      <c r="B74" s="222" t="inlineStr">
        <is>
          <t>ул. Успешная</t>
        </is>
      </c>
      <c r="C74" s="223" t="n"/>
      <c r="D74" s="223" t="n"/>
      <c r="E74" s="223" t="n"/>
      <c r="F74" s="223" t="n"/>
      <c r="G74" s="223" t="n"/>
      <c r="H74" s="223" t="n"/>
      <c r="I74" s="223" t="n"/>
      <c r="J74" s="223" t="n"/>
      <c r="K74" s="223" t="n"/>
      <c r="L74" s="223" t="n"/>
      <c r="M74" s="223" t="n"/>
      <c r="N74" s="223" t="n"/>
      <c r="O74" s="223" t="n"/>
      <c r="P74" s="223" t="n"/>
      <c r="Q74" s="182" t="n"/>
      <c r="R74" s="225" t="n"/>
      <c r="S74" s="193" t="n"/>
      <c r="T74" s="222" t="inlineStr">
        <is>
          <t>ул. Успешная</t>
        </is>
      </c>
      <c r="U74" s="223" t="n"/>
      <c r="V74" s="223" t="n"/>
      <c r="W74" s="223" t="n"/>
      <c r="X74" s="223" t="n"/>
      <c r="Y74" s="223" t="n"/>
      <c r="Z74" s="223" t="n"/>
      <c r="AA74" s="223" t="n"/>
      <c r="AB74" s="223" t="n"/>
      <c r="AC74" s="223" t="n"/>
      <c r="AD74" s="223" t="n"/>
      <c r="AE74" s="223" t="n"/>
      <c r="AF74" s="223" t="n"/>
      <c r="AG74" s="223" t="n"/>
      <c r="AH74" s="223" t="n"/>
      <c r="AI74" s="182" t="n"/>
      <c r="AJ74" s="225" t="n"/>
      <c r="AK74" s="193" t="n"/>
      <c r="AL74" s="222" t="inlineStr">
        <is>
          <t>ул. Успешная</t>
        </is>
      </c>
      <c r="AM74" s="223" t="n"/>
      <c r="AN74" s="223" t="n"/>
      <c r="AO74" s="223" t="n"/>
      <c r="AP74" s="223" t="n"/>
      <c r="AQ74" s="223" t="n"/>
      <c r="AR74" s="223" t="n"/>
      <c r="AS74" s="223" t="n"/>
      <c r="AT74" s="223" t="n"/>
      <c r="AU74" s="223" t="n"/>
      <c r="AV74" s="223" t="n"/>
      <c r="AW74" s="223" t="n"/>
      <c r="AX74" s="223" t="n"/>
      <c r="AY74" s="223" t="n"/>
      <c r="AZ74" s="223" t="n"/>
      <c r="BA74" s="182" t="n"/>
      <c r="BB74" s="225" t="n"/>
      <c r="BC74" s="193" t="n"/>
      <c r="BD74" s="94" t="n"/>
    </row>
    <row r="75" ht="15.75" customHeight="1" s="163">
      <c r="A75" s="94" t="n"/>
      <c r="B75" s="186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85" t="n"/>
      <c r="R75" s="225" t="n"/>
      <c r="S75" s="193" t="n"/>
      <c r="T75" s="186" t="n"/>
      <c r="U75" s="198" t="n"/>
      <c r="V75" s="198" t="n"/>
      <c r="W75" s="198" t="n"/>
      <c r="X75" s="198" t="n"/>
      <c r="Y75" s="198" t="n"/>
      <c r="Z75" s="198" t="n"/>
      <c r="AA75" s="198" t="n"/>
      <c r="AB75" s="198" t="n"/>
      <c r="AC75" s="198" t="n"/>
      <c r="AD75" s="198" t="n"/>
      <c r="AE75" s="198" t="n"/>
      <c r="AF75" s="198" t="n"/>
      <c r="AG75" s="198" t="n"/>
      <c r="AH75" s="198" t="n"/>
      <c r="AI75" s="185" t="n"/>
      <c r="AJ75" s="225" t="n"/>
      <c r="AK75" s="193" t="n"/>
      <c r="AL75" s="186" t="n"/>
      <c r="AM75" s="198" t="n"/>
      <c r="AN75" s="198" t="n"/>
      <c r="AO75" s="198" t="n"/>
      <c r="AP75" s="198" t="n"/>
      <c r="AQ75" s="198" t="n"/>
      <c r="AR75" s="198" t="n"/>
      <c r="AS75" s="198" t="n"/>
      <c r="AT75" s="198" t="n"/>
      <c r="AU75" s="198" t="n"/>
      <c r="AV75" s="198" t="n"/>
      <c r="AW75" s="198" t="n"/>
      <c r="AX75" s="198" t="n"/>
      <c r="AY75" s="198" t="n"/>
      <c r="AZ75" s="198" t="n"/>
      <c r="BA75" s="185" t="n"/>
      <c r="BB75" s="225" t="n"/>
      <c r="BC75" s="193" t="n"/>
      <c r="BD75" s="94" t="n"/>
    </row>
    <row r="76" ht="15.75" customHeight="1" s="163">
      <c r="A76" s="94" t="n"/>
      <c r="B76" s="146" t="inlineStr">
        <is>
          <t>№ 7</t>
        </is>
      </c>
      <c r="C76" s="147" t="inlineStr">
        <is>
          <t>Коммерция</t>
        </is>
      </c>
      <c r="D76" s="146" t="inlineStr">
        <is>
          <t>№ 8</t>
        </is>
      </c>
      <c r="E76" s="147" t="inlineStr">
        <is>
          <t>Коммерция</t>
        </is>
      </c>
      <c r="F76" s="146" t="inlineStr">
        <is>
          <t>№ 8</t>
        </is>
      </c>
      <c r="G76" s="147" t="inlineStr">
        <is>
          <t>Коммерция</t>
        </is>
      </c>
      <c r="H76" s="146" t="inlineStr">
        <is>
          <t>№ 8</t>
        </is>
      </c>
      <c r="I76" s="147" t="inlineStr">
        <is>
          <t>Коммерция</t>
        </is>
      </c>
      <c r="J76" s="146" t="inlineStr">
        <is>
          <t>№ 9</t>
        </is>
      </c>
      <c r="K76" s="147" t="inlineStr">
        <is>
          <t>Коммерция</t>
        </is>
      </c>
      <c r="L76" s="146" t="inlineStr">
        <is>
          <t>№ 9</t>
        </is>
      </c>
      <c r="M76" s="147" t="inlineStr">
        <is>
          <t>Коммерция</t>
        </is>
      </c>
      <c r="N76" s="146" t="inlineStr">
        <is>
          <t>№ 9</t>
        </is>
      </c>
      <c r="O76" s="147" t="inlineStr">
        <is>
          <t>Коммерция</t>
        </is>
      </c>
      <c r="P76" s="146" t="inlineStr">
        <is>
          <t>№ 10</t>
        </is>
      </c>
      <c r="Q76" s="154" t="inlineStr">
        <is>
          <t>Коммерция</t>
        </is>
      </c>
      <c r="R76" s="225" t="n"/>
      <c r="S76" s="193" t="n"/>
      <c r="T76" s="146" t="inlineStr">
        <is>
          <t>№ 8</t>
        </is>
      </c>
      <c r="U76" s="147" t="inlineStr">
        <is>
          <t>Коммерция</t>
        </is>
      </c>
      <c r="V76" s="146" t="inlineStr">
        <is>
          <t>№ 9</t>
        </is>
      </c>
      <c r="W76" s="147" t="inlineStr">
        <is>
          <t>Коммерция</t>
        </is>
      </c>
      <c r="X76" s="146" t="inlineStr">
        <is>
          <t>№ 9</t>
        </is>
      </c>
      <c r="Y76" s="147" t="inlineStr">
        <is>
          <t>Коммерция</t>
        </is>
      </c>
      <c r="Z76" s="146" t="inlineStr">
        <is>
          <t>№ 9</t>
        </is>
      </c>
      <c r="AA76" s="147" t="inlineStr">
        <is>
          <t>Коммерция</t>
        </is>
      </c>
      <c r="AB76" s="146" t="inlineStr">
        <is>
          <t>№ 10</t>
        </is>
      </c>
      <c r="AC76" s="147" t="inlineStr">
        <is>
          <t>Коммерция</t>
        </is>
      </c>
      <c r="AD76" s="146" t="inlineStr">
        <is>
          <t>№ 10</t>
        </is>
      </c>
      <c r="AE76" s="147" t="inlineStr">
        <is>
          <t>Коммерция</t>
        </is>
      </c>
      <c r="AF76" s="146" t="inlineStr">
        <is>
          <t>№ 10</t>
        </is>
      </c>
      <c r="AG76" s="147" t="inlineStr">
        <is>
          <t>Коммерция</t>
        </is>
      </c>
      <c r="AH76" s="146" t="inlineStr">
        <is>
          <t>№ 11</t>
        </is>
      </c>
      <c r="AI76" s="154" t="inlineStr">
        <is>
          <t>Коммерция</t>
        </is>
      </c>
      <c r="AJ76" s="225" t="n"/>
      <c r="AK76" s="193" t="n"/>
      <c r="AL76" s="146" t="inlineStr">
        <is>
          <t>№ 9</t>
        </is>
      </c>
      <c r="AM76" s="147" t="inlineStr">
        <is>
          <t>Коммерция</t>
        </is>
      </c>
      <c r="AN76" s="146" t="inlineStr">
        <is>
          <t>№ 10</t>
        </is>
      </c>
      <c r="AO76" s="147" t="inlineStr">
        <is>
          <t>Коммерция</t>
        </is>
      </c>
      <c r="AP76" s="146" t="inlineStr">
        <is>
          <t>№ 10</t>
        </is>
      </c>
      <c r="AQ76" s="147" t="inlineStr">
        <is>
          <t>Коммерция</t>
        </is>
      </c>
      <c r="AR76" s="146" t="inlineStr">
        <is>
          <t>№ 10</t>
        </is>
      </c>
      <c r="AS76" s="147" t="inlineStr">
        <is>
          <t>Коммерция</t>
        </is>
      </c>
      <c r="AT76" s="146" t="inlineStr">
        <is>
          <t>№ 11</t>
        </is>
      </c>
      <c r="AU76" s="147" t="inlineStr">
        <is>
          <t>Коммерция</t>
        </is>
      </c>
      <c r="AV76" s="146" t="inlineStr">
        <is>
          <t>№ 11</t>
        </is>
      </c>
      <c r="AW76" s="147" t="inlineStr">
        <is>
          <t>Коммерция</t>
        </is>
      </c>
      <c r="AX76" s="146" t="inlineStr">
        <is>
          <t>№ 11</t>
        </is>
      </c>
      <c r="AY76" s="147" t="inlineStr">
        <is>
          <t>Коммерция</t>
        </is>
      </c>
      <c r="AZ76" s="146" t="inlineStr">
        <is>
          <t>№ 12</t>
        </is>
      </c>
      <c r="BA76" s="154" t="inlineStr">
        <is>
          <t>Коммерция</t>
        </is>
      </c>
      <c r="BB76" s="225" t="n"/>
      <c r="BC76" s="193" t="n"/>
      <c r="BD76" s="94" t="n"/>
    </row>
    <row r="77" ht="15.75" customHeight="1" s="163">
      <c r="A77" s="94" t="n"/>
      <c r="B77" s="148" t="inlineStr">
        <is>
          <t>ЦЕНА:</t>
        </is>
      </c>
      <c r="C77" s="149" t="inlineStr">
        <is>
          <t>ПРОДАНО</t>
        </is>
      </c>
      <c r="D77" s="148" t="inlineStr">
        <is>
          <t>ЦЕНА:</t>
        </is>
      </c>
      <c r="E77" s="149" t="inlineStr">
        <is>
          <t>ПРОДАНО</t>
        </is>
      </c>
      <c r="F77" s="148" t="inlineStr">
        <is>
          <t>ЦЕНА:</t>
        </is>
      </c>
      <c r="G77" s="149" t="inlineStr">
        <is>
          <t>ПРОДАНО</t>
        </is>
      </c>
      <c r="H77" s="148" t="inlineStr">
        <is>
          <t>ЦЕНА:</t>
        </is>
      </c>
      <c r="I77" s="149" t="inlineStr">
        <is>
          <t>ПРОДАНО</t>
        </is>
      </c>
      <c r="J77" s="148" t="inlineStr">
        <is>
          <t>ЦЕНА:</t>
        </is>
      </c>
      <c r="K77" s="149" t="inlineStr">
        <is>
          <t>ПРОДАНО</t>
        </is>
      </c>
      <c r="L77" s="148" t="inlineStr">
        <is>
          <t>ЦЕНА:</t>
        </is>
      </c>
      <c r="M77" s="149" t="inlineStr">
        <is>
          <t>ПРОДАНО</t>
        </is>
      </c>
      <c r="N77" s="148" t="inlineStr">
        <is>
          <t>ЦЕНА:</t>
        </is>
      </c>
      <c r="O77" s="149" t="inlineStr">
        <is>
          <t>ПРОДАНО</t>
        </is>
      </c>
      <c r="P77" s="148" t="inlineStr">
        <is>
          <t>ЦЕНА:</t>
        </is>
      </c>
      <c r="Q77" s="155" t="inlineStr">
        <is>
          <t>ПРОДАНО</t>
        </is>
      </c>
      <c r="R77" s="225" t="n"/>
      <c r="S77" s="193" t="n"/>
      <c r="T77" s="148" t="inlineStr">
        <is>
          <t>ЦЕНА:</t>
        </is>
      </c>
      <c r="U77" s="149" t="inlineStr">
        <is>
          <t>ПРОДАНО</t>
        </is>
      </c>
      <c r="V77" s="148" t="inlineStr">
        <is>
          <t>ЦЕНА:</t>
        </is>
      </c>
      <c r="W77" s="149" t="inlineStr">
        <is>
          <t>ПРОДАНО</t>
        </is>
      </c>
      <c r="X77" s="148" t="inlineStr">
        <is>
          <t>ЦЕНА:</t>
        </is>
      </c>
      <c r="Y77" s="149" t="inlineStr">
        <is>
          <t>ПРОДАНО</t>
        </is>
      </c>
      <c r="Z77" s="148" t="inlineStr">
        <is>
          <t>ЦЕНА:</t>
        </is>
      </c>
      <c r="AA77" s="149" t="inlineStr">
        <is>
          <t>ПРОДАНО</t>
        </is>
      </c>
      <c r="AB77" s="148" t="inlineStr">
        <is>
          <t>ЦЕНА:</t>
        </is>
      </c>
      <c r="AC77" s="149" t="inlineStr">
        <is>
          <t>ПРОДАНО</t>
        </is>
      </c>
      <c r="AD77" s="148" t="inlineStr">
        <is>
          <t>ЦЕНА:</t>
        </is>
      </c>
      <c r="AE77" s="149" t="inlineStr">
        <is>
          <t>ПРОДАНО</t>
        </is>
      </c>
      <c r="AF77" s="148" t="inlineStr">
        <is>
          <t>ЦЕНА:</t>
        </is>
      </c>
      <c r="AG77" s="149" t="inlineStr">
        <is>
          <t>ПРОДАНО</t>
        </is>
      </c>
      <c r="AH77" s="148" t="inlineStr">
        <is>
          <t>ЦЕНА:</t>
        </is>
      </c>
      <c r="AI77" s="155" t="inlineStr">
        <is>
          <t>ПРОДАНО</t>
        </is>
      </c>
      <c r="AJ77" s="225" t="n"/>
      <c r="AK77" s="193" t="n"/>
      <c r="AL77" s="148" t="inlineStr">
        <is>
          <t>ЦЕНА:</t>
        </is>
      </c>
      <c r="AM77" s="149" t="inlineStr">
        <is>
          <t>ПРОДАНО</t>
        </is>
      </c>
      <c r="AN77" s="148" t="inlineStr">
        <is>
          <t>ЦЕНА:</t>
        </is>
      </c>
      <c r="AO77" s="149" t="inlineStr">
        <is>
          <t>ПРОДАНО</t>
        </is>
      </c>
      <c r="AP77" s="148" t="inlineStr">
        <is>
          <t>ЦЕНА:</t>
        </is>
      </c>
      <c r="AQ77" s="149" t="inlineStr">
        <is>
          <t>ПРОДАНО</t>
        </is>
      </c>
      <c r="AR77" s="148" t="inlineStr">
        <is>
          <t>ЦЕНА:</t>
        </is>
      </c>
      <c r="AS77" s="149" t="inlineStr">
        <is>
          <t>ПРОДАНО</t>
        </is>
      </c>
      <c r="AT77" s="148" t="inlineStr">
        <is>
          <t>ЦЕНА:</t>
        </is>
      </c>
      <c r="AU77" s="149" t="inlineStr">
        <is>
          <t>ПРОДАНО</t>
        </is>
      </c>
      <c r="AV77" s="148" t="inlineStr">
        <is>
          <t>ЦЕНА:</t>
        </is>
      </c>
      <c r="AW77" s="149" t="inlineStr">
        <is>
          <t>ПРОДАНО</t>
        </is>
      </c>
      <c r="AX77" s="148" t="inlineStr">
        <is>
          <t>ЦЕНА:</t>
        </is>
      </c>
      <c r="AY77" s="149" t="inlineStr">
        <is>
          <t>ПРОДАНО</t>
        </is>
      </c>
      <c r="AZ77" s="148" t="inlineStr">
        <is>
          <t>ЦЕНА:</t>
        </is>
      </c>
      <c r="BA77" s="155" t="inlineStr">
        <is>
          <t>ПРОДАНО</t>
        </is>
      </c>
      <c r="BB77" s="225" t="n"/>
      <c r="BC77" s="193" t="n"/>
      <c r="BD77" s="94" t="n"/>
    </row>
    <row r="78" ht="15.75" customHeight="1" s="163">
      <c r="A78" s="94" t="n"/>
      <c r="B78" s="150" t="inlineStr">
        <is>
          <t>ПЛОЩАДЬ:</t>
        </is>
      </c>
      <c r="C78" s="151" t="n">
        <v>68</v>
      </c>
      <c r="D78" s="150" t="inlineStr">
        <is>
          <t>ПЛОЩАДЬ:</t>
        </is>
      </c>
      <c r="E78" s="151" t="n">
        <v>69</v>
      </c>
      <c r="F78" s="150" t="inlineStr">
        <is>
          <t>ПЛОЩАДЬ:</t>
        </is>
      </c>
      <c r="G78" s="151" t="n">
        <v>69</v>
      </c>
      <c r="H78" s="150" t="inlineStr">
        <is>
          <t>ПЛОЩАДЬ:</t>
        </is>
      </c>
      <c r="I78" s="151" t="n">
        <v>69</v>
      </c>
      <c r="J78" s="150" t="inlineStr">
        <is>
          <t>ПЛОЩАДЬ:</t>
        </is>
      </c>
      <c r="K78" s="151" t="n">
        <v>70</v>
      </c>
      <c r="L78" s="150" t="inlineStr">
        <is>
          <t>ПЛОЩАДЬ:</t>
        </is>
      </c>
      <c r="M78" s="151" t="n">
        <v>70</v>
      </c>
      <c r="N78" s="150" t="inlineStr">
        <is>
          <t>ПЛОЩАДЬ:</t>
        </is>
      </c>
      <c r="O78" s="151" t="n">
        <v>70</v>
      </c>
      <c r="P78" s="150" t="inlineStr">
        <is>
          <t>ПЛОЩАДЬ:</t>
        </is>
      </c>
      <c r="Q78" s="156" t="n">
        <v>71</v>
      </c>
      <c r="R78" s="225" t="n"/>
      <c r="S78" s="193" t="n"/>
      <c r="T78" s="150" t="inlineStr">
        <is>
          <t>ПЛОЩАДЬ:</t>
        </is>
      </c>
      <c r="U78" s="151" t="n">
        <v>69</v>
      </c>
      <c r="V78" s="150" t="inlineStr">
        <is>
          <t>ПЛОЩАДЬ:</t>
        </is>
      </c>
      <c r="W78" s="151" t="n">
        <v>70</v>
      </c>
      <c r="X78" s="150" t="inlineStr">
        <is>
          <t>ПЛОЩАДЬ:</t>
        </is>
      </c>
      <c r="Y78" s="151" t="n">
        <v>70</v>
      </c>
      <c r="Z78" s="150" t="inlineStr">
        <is>
          <t>ПЛОЩАДЬ:</t>
        </is>
      </c>
      <c r="AA78" s="151" t="n">
        <v>70</v>
      </c>
      <c r="AB78" s="150" t="inlineStr">
        <is>
          <t>ПЛОЩАДЬ:</t>
        </is>
      </c>
      <c r="AC78" s="151" t="n">
        <v>71</v>
      </c>
      <c r="AD78" s="150" t="inlineStr">
        <is>
          <t>ПЛОЩАДЬ:</t>
        </is>
      </c>
      <c r="AE78" s="151" t="n">
        <v>71</v>
      </c>
      <c r="AF78" s="150" t="inlineStr">
        <is>
          <t>ПЛОЩАДЬ:</t>
        </is>
      </c>
      <c r="AG78" s="151" t="n">
        <v>71</v>
      </c>
      <c r="AH78" s="150" t="inlineStr">
        <is>
          <t>ПЛОЩАДЬ:</t>
        </is>
      </c>
      <c r="AI78" s="156" t="n">
        <v>72</v>
      </c>
      <c r="AJ78" s="225" t="n"/>
      <c r="AK78" s="193" t="n"/>
      <c r="AL78" s="150" t="inlineStr">
        <is>
          <t>ПЛОЩАДЬ:</t>
        </is>
      </c>
      <c r="AM78" s="151" t="n">
        <v>70</v>
      </c>
      <c r="AN78" s="150" t="inlineStr">
        <is>
          <t>ПЛОЩАДЬ:</t>
        </is>
      </c>
      <c r="AO78" s="151" t="n">
        <v>71</v>
      </c>
      <c r="AP78" s="150" t="inlineStr">
        <is>
          <t>ПЛОЩАДЬ:</t>
        </is>
      </c>
      <c r="AQ78" s="151" t="n">
        <v>71</v>
      </c>
      <c r="AR78" s="150" t="inlineStr">
        <is>
          <t>ПЛОЩАДЬ:</t>
        </is>
      </c>
      <c r="AS78" s="151" t="n">
        <v>71</v>
      </c>
      <c r="AT78" s="150" t="inlineStr">
        <is>
          <t>ПЛОЩАДЬ:</t>
        </is>
      </c>
      <c r="AU78" s="151" t="n">
        <v>72</v>
      </c>
      <c r="AV78" s="150" t="inlineStr">
        <is>
          <t>ПЛОЩАДЬ:</t>
        </is>
      </c>
      <c r="AW78" s="151" t="n">
        <v>72</v>
      </c>
      <c r="AX78" s="150" t="inlineStr">
        <is>
          <t>ПЛОЩАДЬ:</t>
        </is>
      </c>
      <c r="AY78" s="151" t="n">
        <v>72</v>
      </c>
      <c r="AZ78" s="150" t="inlineStr">
        <is>
          <t>ПЛОЩАДЬ:</t>
        </is>
      </c>
      <c r="BA78" s="156" t="n">
        <v>73</v>
      </c>
      <c r="BB78" s="225" t="n"/>
      <c r="BC78" s="193" t="n"/>
      <c r="BD78" s="94" t="n"/>
    </row>
    <row r="79" ht="15.75" customHeight="1" s="163">
      <c r="A79" s="94" t="n"/>
      <c r="B79" s="146" t="inlineStr">
        <is>
          <t>№ 8</t>
        </is>
      </c>
      <c r="C79" s="147" t="inlineStr">
        <is>
          <t>Коммерция</t>
        </is>
      </c>
      <c r="D79" s="94" t="n"/>
      <c r="E79" s="94" t="n"/>
      <c r="F79" s="94" t="n"/>
      <c r="G79" s="94" t="n"/>
      <c r="H79" s="94" t="n"/>
      <c r="I79" s="94" t="n"/>
      <c r="J79" s="94" t="n"/>
      <c r="K79" s="94" t="n"/>
      <c r="L79" s="94" t="n"/>
      <c r="M79" s="94" t="n"/>
      <c r="N79" s="94" t="n"/>
      <c r="O79" s="94" t="n"/>
      <c r="P79" s="146" t="inlineStr">
        <is>
          <t>№ 11</t>
        </is>
      </c>
      <c r="Q79" s="154" t="inlineStr">
        <is>
          <t>Коммерция</t>
        </is>
      </c>
      <c r="R79" s="225" t="n"/>
      <c r="S79" s="193" t="n"/>
      <c r="T79" s="146" t="inlineStr">
        <is>
          <t>№ 9</t>
        </is>
      </c>
      <c r="U79" s="147" t="inlineStr">
        <is>
          <t>Коммерция</t>
        </is>
      </c>
      <c r="V79" s="94" t="n"/>
      <c r="W79" s="94" t="n"/>
      <c r="X79" s="94" t="n"/>
      <c r="Y79" s="94" t="n"/>
      <c r="Z79" s="94" t="n"/>
      <c r="AA79" s="94" t="n"/>
      <c r="AB79" s="94" t="n"/>
      <c r="AC79" s="94" t="n"/>
      <c r="AD79" s="94" t="n"/>
      <c r="AE79" s="94" t="n"/>
      <c r="AF79" s="94" t="n"/>
      <c r="AG79" s="94" t="n"/>
      <c r="AH79" s="146" t="inlineStr">
        <is>
          <t>№ 12</t>
        </is>
      </c>
      <c r="AI79" s="154" t="inlineStr">
        <is>
          <t>Коммерция</t>
        </is>
      </c>
      <c r="AJ79" s="225" t="n"/>
      <c r="AK79" s="193" t="n"/>
      <c r="AL79" s="146" t="inlineStr">
        <is>
          <t>№ 10</t>
        </is>
      </c>
      <c r="AM79" s="147" t="inlineStr">
        <is>
          <t>Коммерция</t>
        </is>
      </c>
      <c r="AN79" s="94" t="n"/>
      <c r="AO79" s="94" t="n"/>
      <c r="AP79" s="94" t="n"/>
      <c r="AQ79" s="94" t="n"/>
      <c r="AR79" s="94" t="n"/>
      <c r="AS79" s="94" t="n"/>
      <c r="AT79" s="94" t="n"/>
      <c r="AU79" s="94" t="n"/>
      <c r="AV79" s="94" t="n"/>
      <c r="AW79" s="94" t="n"/>
      <c r="AX79" s="94" t="n"/>
      <c r="AY79" s="94" t="n"/>
      <c r="AZ79" s="146" t="inlineStr">
        <is>
          <t>№ 13</t>
        </is>
      </c>
      <c r="BA79" s="154" t="inlineStr">
        <is>
          <t>Коммерция</t>
        </is>
      </c>
      <c r="BB79" s="225" t="n"/>
      <c r="BC79" s="193" t="n"/>
      <c r="BD79" s="94" t="n"/>
    </row>
    <row r="80" ht="15.75" customHeight="1" s="163">
      <c r="A80" s="94" t="n"/>
      <c r="B80" s="148" t="inlineStr">
        <is>
          <t>ЦЕНА:</t>
        </is>
      </c>
      <c r="C80" s="149" t="inlineStr">
        <is>
          <t>ПРОДАНО</t>
        </is>
      </c>
      <c r="D80" s="94" t="n"/>
      <c r="E80" s="94" t="n"/>
      <c r="F80" s="94" t="n"/>
      <c r="G80" s="94" t="n"/>
      <c r="H80" s="94" t="n"/>
      <c r="I80" s="94" t="n"/>
      <c r="J80" s="94" t="n"/>
      <c r="K80" s="94" t="n"/>
      <c r="L80" s="94" t="n"/>
      <c r="M80" s="94" t="n"/>
      <c r="N80" s="94" t="n"/>
      <c r="O80" s="94" t="n"/>
      <c r="P80" s="148" t="inlineStr">
        <is>
          <t>ЦЕНА:</t>
        </is>
      </c>
      <c r="Q80" s="155" t="inlineStr">
        <is>
          <t>ПРОДАНО</t>
        </is>
      </c>
      <c r="R80" s="225" t="n"/>
      <c r="S80" s="193" t="n"/>
      <c r="T80" s="148" t="inlineStr">
        <is>
          <t>ЦЕНА:</t>
        </is>
      </c>
      <c r="U80" s="149" t="inlineStr">
        <is>
          <t>ПРОДАНО</t>
        </is>
      </c>
      <c r="V80" s="94" t="n"/>
      <c r="W80" s="94" t="n"/>
      <c r="X80" s="94" t="n"/>
      <c r="Y80" s="94" t="n"/>
      <c r="Z80" s="94" t="n"/>
      <c r="AA80" s="94" t="n"/>
      <c r="AB80" s="94" t="n"/>
      <c r="AC80" s="94" t="n"/>
      <c r="AD80" s="94" t="n"/>
      <c r="AE80" s="94" t="n"/>
      <c r="AF80" s="94" t="n"/>
      <c r="AG80" s="94" t="n"/>
      <c r="AH80" s="148" t="inlineStr">
        <is>
          <t>ЦЕНА:</t>
        </is>
      </c>
      <c r="AI80" s="155" t="inlineStr">
        <is>
          <t>ПРОДАНО</t>
        </is>
      </c>
      <c r="AJ80" s="225" t="n"/>
      <c r="AK80" s="193" t="n"/>
      <c r="AL80" s="148" t="inlineStr">
        <is>
          <t>ЦЕНА:</t>
        </is>
      </c>
      <c r="AM80" s="149" t="inlineStr">
        <is>
          <t>ПРОДАНО</t>
        </is>
      </c>
      <c r="AN80" s="94" t="n"/>
      <c r="AO80" s="94" t="n"/>
      <c r="AP80" s="94" t="n"/>
      <c r="AQ80" s="94" t="n"/>
      <c r="AR80" s="94" t="n"/>
      <c r="AS80" s="94" t="n"/>
      <c r="AT80" s="94" t="n"/>
      <c r="AU80" s="94" t="n"/>
      <c r="AV80" s="94" t="n"/>
      <c r="AW80" s="94" t="n"/>
      <c r="AX80" s="94" t="n"/>
      <c r="AY80" s="94" t="n"/>
      <c r="AZ80" s="148" t="inlineStr">
        <is>
          <t>ЦЕНА:</t>
        </is>
      </c>
      <c r="BA80" s="155" t="inlineStr">
        <is>
          <t>ПРОДАНО</t>
        </is>
      </c>
      <c r="BB80" s="225" t="n"/>
      <c r="BC80" s="193" t="n"/>
      <c r="BD80" s="94" t="n"/>
    </row>
    <row r="81" ht="15.75" customHeight="1" s="163">
      <c r="A81" s="94" t="n"/>
      <c r="B81" s="157" t="inlineStr">
        <is>
          <t>ПЛОЩАДЬ:</t>
        </is>
      </c>
      <c r="C81" s="158" t="n">
        <v>69</v>
      </c>
      <c r="D81" s="94" t="n"/>
      <c r="E81" s="94" t="n"/>
      <c r="F81" s="94" t="n"/>
      <c r="G81" s="94" t="n"/>
      <c r="H81" s="94" t="n"/>
      <c r="I81" s="94" t="n"/>
      <c r="J81" s="94" t="n"/>
      <c r="K81" s="94" t="n"/>
      <c r="L81" s="94" t="n"/>
      <c r="M81" s="94" t="n"/>
      <c r="N81" s="94" t="n"/>
      <c r="O81" s="94" t="n"/>
      <c r="P81" s="157" t="inlineStr">
        <is>
          <t>ПЛОЩАДЬ:</t>
        </is>
      </c>
      <c r="Q81" s="159" t="n">
        <v>72</v>
      </c>
      <c r="R81" s="186" t="n"/>
      <c r="S81" s="185" t="n"/>
      <c r="T81" s="157" t="inlineStr">
        <is>
          <t>ПЛОЩАДЬ:</t>
        </is>
      </c>
      <c r="U81" s="158" t="n">
        <v>70</v>
      </c>
      <c r="V81" s="94" t="n"/>
      <c r="W81" s="94" t="n"/>
      <c r="X81" s="94" t="n"/>
      <c r="Y81" s="94" t="n"/>
      <c r="Z81" s="94" t="n"/>
      <c r="AA81" s="94" t="n"/>
      <c r="AB81" s="94" t="n"/>
      <c r="AC81" s="94" t="n"/>
      <c r="AD81" s="94" t="n"/>
      <c r="AE81" s="94" t="n"/>
      <c r="AF81" s="94" t="n"/>
      <c r="AG81" s="94" t="n"/>
      <c r="AH81" s="157" t="inlineStr">
        <is>
          <t>ПЛОЩАДЬ:</t>
        </is>
      </c>
      <c r="AI81" s="159" t="n">
        <v>73</v>
      </c>
      <c r="AJ81" s="186" t="n"/>
      <c r="AK81" s="185" t="n"/>
      <c r="AL81" s="157" t="inlineStr">
        <is>
          <t>ПЛОЩАДЬ:</t>
        </is>
      </c>
      <c r="AM81" s="158" t="n">
        <v>71</v>
      </c>
      <c r="AN81" s="94" t="n"/>
      <c r="AO81" s="94" t="n"/>
      <c r="AP81" s="94" t="n"/>
      <c r="AQ81" s="94" t="n"/>
      <c r="AR81" s="94" t="n"/>
      <c r="AS81" s="94" t="n"/>
      <c r="AT81" s="94" t="n"/>
      <c r="AU81" s="94" t="n"/>
      <c r="AV81" s="94" t="n"/>
      <c r="AW81" s="94" t="n"/>
      <c r="AX81" s="94" t="n"/>
      <c r="AY81" s="94" t="n"/>
      <c r="AZ81" s="157" t="inlineStr">
        <is>
          <t>ПЛОЩАДЬ:</t>
        </is>
      </c>
      <c r="BA81" s="159" t="n">
        <v>74</v>
      </c>
      <c r="BB81" s="186" t="n"/>
      <c r="BC81" s="185" t="n"/>
      <c r="BD81" s="94" t="n"/>
    </row>
    <row r="82" ht="15.75" customHeight="1" s="163">
      <c r="A82" s="92" t="n"/>
      <c r="B82" s="94" t="n"/>
      <c r="C82" s="94" t="n"/>
      <c r="D82" s="94" t="n"/>
      <c r="E82" s="94" t="n"/>
      <c r="F82" s="94" t="n"/>
      <c r="G82" s="94" t="n"/>
      <c r="H82" s="94" t="n"/>
      <c r="I82" s="94" t="n"/>
      <c r="J82" s="94" t="n"/>
      <c r="K82" s="94" t="n"/>
      <c r="L82" s="94" t="n"/>
      <c r="M82" s="94" t="n"/>
      <c r="N82" s="94" t="n"/>
      <c r="O82" s="94" t="n"/>
      <c r="P82" s="94" t="n"/>
      <c r="Q82" s="94" t="n"/>
      <c r="R82" s="66" t="n"/>
      <c r="S82" s="67" t="n"/>
      <c r="T82" s="94" t="n"/>
      <c r="U82" s="94" t="n"/>
      <c r="V82" s="94" t="n"/>
      <c r="W82" s="94" t="n"/>
      <c r="X82" s="94" t="n"/>
      <c r="Y82" s="94" t="n"/>
      <c r="Z82" s="94" t="n"/>
      <c r="AA82" s="94" t="n"/>
      <c r="AB82" s="94" t="n"/>
      <c r="AC82" s="94" t="n"/>
      <c r="AD82" s="94" t="n"/>
      <c r="AE82" s="94" t="n"/>
      <c r="AF82" s="94" t="n"/>
      <c r="AG82" s="94" t="n"/>
      <c r="AH82" s="94" t="n"/>
      <c r="AI82" s="94" t="n"/>
      <c r="AJ82" s="94" t="n"/>
      <c r="AK82" s="94" t="n"/>
      <c r="AL82" s="94" t="n"/>
      <c r="AM82" s="94" t="n"/>
      <c r="AN82" s="94" t="n"/>
      <c r="AO82" s="94" t="n"/>
      <c r="AP82" s="94" t="n"/>
      <c r="AQ82" s="94" t="n"/>
      <c r="AR82" s="94" t="n"/>
      <c r="AS82" s="94" t="n"/>
      <c r="AT82" s="94" t="n"/>
      <c r="AU82" s="94" t="n"/>
      <c r="AV82" s="94" t="n"/>
      <c r="AW82" s="94" t="n"/>
      <c r="AX82" s="94" t="n"/>
      <c r="AY82" s="94" t="n"/>
      <c r="AZ82" s="94" t="n"/>
      <c r="BA82" s="94" t="n"/>
      <c r="BB82" s="94" t="n"/>
      <c r="BC82" s="94" t="n"/>
      <c r="BD82" s="94" t="n"/>
    </row>
    <row r="83" ht="15.75" customHeight="1" s="163">
      <c r="A83" s="92" t="n"/>
      <c r="B83" s="94" t="n"/>
      <c r="C83" s="94" t="n"/>
      <c r="D83" s="94" t="n"/>
      <c r="E83" s="94" t="n"/>
      <c r="F83" s="94" t="n"/>
      <c r="G83" s="94" t="n"/>
      <c r="H83" s="94" t="n"/>
      <c r="I83" s="94" t="n"/>
      <c r="J83" s="94" t="n"/>
      <c r="K83" s="94" t="n"/>
      <c r="L83" s="94" t="n"/>
      <c r="M83" s="94" t="n"/>
      <c r="N83" s="94" t="n"/>
      <c r="O83" s="94" t="n"/>
      <c r="P83" s="94" t="n"/>
      <c r="Q83" s="94" t="n"/>
      <c r="R83" s="83" t="n"/>
      <c r="S83" s="94" t="n"/>
      <c r="T83" s="94" t="n"/>
      <c r="U83" s="94" t="n"/>
      <c r="V83" s="94" t="n"/>
      <c r="W83" s="94" t="n"/>
      <c r="X83" s="94" t="n"/>
      <c r="Y83" s="94" t="n"/>
      <c r="Z83" s="94" t="n"/>
      <c r="AA83" s="94" t="n"/>
      <c r="AB83" s="94" t="n"/>
      <c r="AC83" s="94" t="n"/>
      <c r="AD83" s="94" t="n"/>
      <c r="AE83" s="94" t="n"/>
      <c r="AF83" s="94" t="n"/>
      <c r="AG83" s="94" t="n"/>
      <c r="AH83" s="94" t="n"/>
      <c r="AI83" s="94" t="n"/>
      <c r="AJ83" s="94" t="n"/>
      <c r="AK83" s="94" t="n"/>
      <c r="AL83" s="94" t="n"/>
      <c r="AM83" s="94" t="n"/>
      <c r="AN83" s="94" t="n"/>
      <c r="AO83" s="94" t="n"/>
      <c r="AP83" s="94" t="n"/>
      <c r="AQ83" s="94" t="n"/>
      <c r="AR83" s="94" t="n"/>
      <c r="AS83" s="94" t="n"/>
      <c r="AT83" s="94" t="n"/>
      <c r="AU83" s="94" t="n"/>
      <c r="AV83" s="94" t="n"/>
      <c r="AW83" s="94" t="n"/>
      <c r="AX83" s="94" t="n"/>
      <c r="AY83" s="94" t="n"/>
      <c r="AZ83" s="94" t="n"/>
      <c r="BA83" s="94" t="n"/>
      <c r="BB83" s="94" t="n"/>
      <c r="BC83" s="94" t="n"/>
      <c r="BD83" s="94" t="n"/>
    </row>
    <row r="84" ht="15.75" customHeight="1" s="163">
      <c r="A84" s="94" t="n"/>
      <c r="B84" s="94" t="n"/>
      <c r="C84" s="94" t="n"/>
      <c r="D84" s="94" t="n"/>
      <c r="E84" s="94" t="n"/>
      <c r="F84" s="94" t="n"/>
      <c r="G84" s="94" t="n"/>
      <c r="H84" s="94" t="n"/>
      <c r="I84" s="94" t="n"/>
      <c r="J84" s="94" t="n"/>
      <c r="K84" s="94" t="n"/>
      <c r="L84" s="94" t="n"/>
      <c r="M84" s="94" t="n"/>
      <c r="N84" s="94" t="n"/>
      <c r="O84" s="94" t="n"/>
      <c r="P84" s="94" t="n"/>
      <c r="Q84" s="94" t="n"/>
      <c r="R84" s="94" t="n"/>
      <c r="S84" s="94" t="n"/>
      <c r="T84" s="94" t="n"/>
      <c r="U84" s="94" t="n"/>
      <c r="V84" s="94" t="n"/>
      <c r="W84" s="94" t="n"/>
      <c r="X84" s="94" t="n"/>
      <c r="Y84" s="94" t="n"/>
      <c r="Z84" s="94" t="n"/>
      <c r="AA84" s="94" t="n"/>
      <c r="AB84" s="94" t="n"/>
      <c r="AC84" s="94" t="n"/>
      <c r="AD84" s="94" t="n"/>
      <c r="AE84" s="94" t="n"/>
      <c r="AF84" s="94" t="n"/>
      <c r="AG84" s="94" t="n"/>
      <c r="AH84" s="94" t="n"/>
      <c r="AI84" s="94" t="n"/>
      <c r="AJ84" s="94" t="n"/>
      <c r="AK84" s="94" t="n"/>
      <c r="AL84" s="94" t="n"/>
      <c r="AM84" s="94" t="n"/>
      <c r="AN84" s="94" t="n"/>
      <c r="AO84" s="94" t="n"/>
      <c r="AP84" s="94" t="n"/>
      <c r="AQ84" s="94" t="n"/>
      <c r="AR84" s="94" t="n"/>
      <c r="AS84" s="94" t="n"/>
      <c r="AT84" s="94" t="n"/>
      <c r="AU84" s="94" t="n"/>
      <c r="AV84" s="94" t="n"/>
      <c r="AW84" s="94" t="n"/>
      <c r="AX84" s="94" t="n"/>
      <c r="AY84" s="94" t="n"/>
      <c r="AZ84" s="94" t="n"/>
      <c r="BA84" s="94" t="n"/>
      <c r="BB84" s="94" t="n"/>
      <c r="BC84" s="94" t="n"/>
      <c r="BD84" s="94" t="n"/>
    </row>
    <row r="85" ht="15.75" customHeight="1" s="163">
      <c r="A85" s="94" t="n"/>
      <c r="B85" s="94" t="n"/>
      <c r="C85" s="94" t="n"/>
      <c r="D85" s="94" t="n"/>
      <c r="E85" s="94" t="n"/>
      <c r="F85" s="94" t="n"/>
      <c r="G85" s="94" t="n"/>
      <c r="H85" s="94" t="n"/>
      <c r="I85" s="94" t="n"/>
      <c r="J85" s="94" t="n"/>
      <c r="K85" s="94" t="n"/>
      <c r="L85" s="94" t="n"/>
      <c r="M85" s="94" t="n"/>
      <c r="N85" s="94" t="n"/>
      <c r="O85" s="94" t="n"/>
      <c r="P85" s="94" t="n"/>
      <c r="Q85" s="94" t="n"/>
      <c r="R85" s="94" t="n"/>
      <c r="S85" s="94" t="n"/>
      <c r="T85" s="94" t="n"/>
      <c r="U85" s="94" t="n"/>
      <c r="V85" s="94" t="n"/>
      <c r="W85" s="94" t="n"/>
      <c r="X85" s="94" t="n"/>
      <c r="Y85" s="94" t="n"/>
      <c r="Z85" s="94" t="n"/>
      <c r="AA85" s="94" t="n"/>
      <c r="AB85" s="94" t="n"/>
      <c r="AC85" s="94" t="n"/>
      <c r="AD85" s="94" t="n"/>
      <c r="AE85" s="94" t="n"/>
      <c r="AF85" s="94" t="n"/>
      <c r="AG85" s="94" t="n"/>
      <c r="AH85" s="94" t="n"/>
      <c r="AI85" s="94" t="n"/>
      <c r="AJ85" s="94" t="n"/>
      <c r="AK85" s="94" t="n"/>
      <c r="AL85" s="94" t="n"/>
      <c r="AM85" s="94" t="n"/>
      <c r="AN85" s="94" t="n"/>
      <c r="AO85" s="94" t="n"/>
      <c r="AP85" s="94" t="n"/>
      <c r="AQ85" s="94" t="n"/>
      <c r="AR85" s="94" t="n"/>
      <c r="AS85" s="94" t="n"/>
      <c r="AT85" s="94" t="n"/>
      <c r="AU85" s="94" t="n"/>
      <c r="AV85" s="94" t="n"/>
      <c r="AW85" s="94" t="n"/>
      <c r="AX85" s="94" t="n"/>
      <c r="AY85" s="94" t="n"/>
      <c r="AZ85" s="94" t="n"/>
      <c r="BA85" s="94" t="n"/>
      <c r="BB85" s="94" t="n"/>
      <c r="BC85" s="94" t="n"/>
      <c r="BD85" s="94" t="n"/>
    </row>
    <row r="86" ht="15.75" customHeight="1" s="163">
      <c r="A86" s="94" t="n"/>
      <c r="B86" s="94" t="n"/>
      <c r="C86" s="94" t="n"/>
      <c r="D86" s="94" t="n"/>
      <c r="E86" s="94" t="n"/>
      <c r="F86" s="94" t="n"/>
      <c r="G86" s="94" t="n"/>
      <c r="H86" s="94" t="n"/>
      <c r="I86" s="94" t="n"/>
      <c r="J86" s="94" t="n"/>
      <c r="K86" s="94" t="n"/>
      <c r="L86" s="94" t="n"/>
      <c r="M86" s="94" t="n"/>
      <c r="N86" s="94" t="n"/>
      <c r="O86" s="94" t="n"/>
      <c r="P86" s="94" t="n"/>
      <c r="Q86" s="94" t="n"/>
      <c r="R86" s="94" t="n"/>
      <c r="S86" s="94" t="n"/>
      <c r="T86" s="94" t="n"/>
      <c r="U86" s="94" t="n"/>
      <c r="V86" s="94" t="n"/>
      <c r="W86" s="94" t="n"/>
      <c r="X86" s="94" t="n"/>
      <c r="Y86" s="94" t="n"/>
      <c r="Z86" s="94" t="n"/>
      <c r="AA86" s="94" t="n"/>
      <c r="AB86" s="94" t="n"/>
      <c r="AC86" s="94" t="n"/>
      <c r="AD86" s="94" t="n"/>
      <c r="AE86" s="94" t="n"/>
      <c r="AF86" s="94" t="n"/>
      <c r="AG86" s="94" t="n"/>
      <c r="AH86" s="94" t="n"/>
      <c r="AI86" s="94" t="n"/>
      <c r="AJ86" s="94" t="n"/>
      <c r="AK86" s="94" t="n"/>
      <c r="AL86" s="94" t="n"/>
      <c r="AM86" s="94" t="n"/>
      <c r="AN86" s="94" t="n"/>
      <c r="AO86" s="94" t="n"/>
      <c r="AP86" s="94" t="n"/>
      <c r="AQ86" s="94" t="n"/>
      <c r="AR86" s="94" t="n"/>
      <c r="AS86" s="94" t="n"/>
      <c r="AT86" s="94" t="n"/>
      <c r="AU86" s="94" t="n"/>
      <c r="AV86" s="94" t="n"/>
      <c r="AW86" s="94" t="n"/>
      <c r="AX86" s="94" t="n"/>
      <c r="AY86" s="94" t="n"/>
      <c r="AZ86" s="94" t="n"/>
      <c r="BA86" s="94" t="n"/>
      <c r="BB86" s="94" t="n"/>
      <c r="BC86" s="94" t="n"/>
      <c r="BD86" s="94" t="n"/>
    </row>
    <row r="87" ht="15.75" customHeight="1" s="163">
      <c r="A87" s="94" t="n"/>
      <c r="B87" s="94" t="n"/>
      <c r="C87" s="94" t="n"/>
      <c r="D87" s="94" t="n"/>
      <c r="E87" s="94" t="n"/>
      <c r="F87" s="94" t="n"/>
      <c r="G87" s="94" t="n"/>
      <c r="H87" s="94" t="n"/>
      <c r="I87" s="94" t="n"/>
      <c r="J87" s="94" t="n"/>
      <c r="K87" s="94" t="n"/>
      <c r="L87" s="94" t="n"/>
      <c r="M87" s="94" t="n"/>
      <c r="N87" s="94" t="n"/>
      <c r="O87" s="94" t="n"/>
      <c r="P87" s="94" t="n"/>
      <c r="Q87" s="94" t="n"/>
      <c r="R87" s="94" t="n"/>
      <c r="S87" s="94" t="n"/>
      <c r="T87" s="94" t="n"/>
      <c r="U87" s="94" t="n"/>
      <c r="V87" s="94" t="n"/>
      <c r="W87" s="94" t="n"/>
      <c r="X87" s="94" t="n"/>
      <c r="Y87" s="94" t="n"/>
      <c r="Z87" s="94" t="n"/>
      <c r="AA87" s="94" t="n"/>
      <c r="AB87" s="94" t="n"/>
      <c r="AC87" s="94" t="n"/>
      <c r="AD87" s="94" t="n"/>
      <c r="AE87" s="94" t="n"/>
      <c r="AF87" s="94" t="n"/>
      <c r="AG87" s="94" t="n"/>
      <c r="AH87" s="94" t="n"/>
      <c r="AI87" s="94" t="n"/>
      <c r="AJ87" s="94" t="n"/>
      <c r="AK87" s="94" t="n"/>
      <c r="AL87" s="94" t="n"/>
      <c r="AM87" s="94" t="n"/>
      <c r="AN87" s="94" t="n"/>
      <c r="AO87" s="94" t="n"/>
      <c r="AP87" s="94" t="n"/>
      <c r="AQ87" s="94" t="n"/>
      <c r="AR87" s="94" t="n"/>
      <c r="AS87" s="94" t="n"/>
      <c r="AT87" s="94" t="n"/>
      <c r="AU87" s="94" t="n"/>
      <c r="AV87" s="94" t="n"/>
      <c r="AW87" s="94" t="n"/>
      <c r="AX87" s="94" t="n"/>
      <c r="AY87" s="94" t="n"/>
      <c r="AZ87" s="94" t="n"/>
      <c r="BA87" s="94" t="n"/>
      <c r="BB87" s="94" t="n"/>
      <c r="BC87" s="94" t="n"/>
      <c r="BD87" s="94" t="n"/>
    </row>
    <row r="88" ht="15.75" customHeight="1" s="163">
      <c r="A88" s="94" t="n"/>
      <c r="B88" s="94" t="n"/>
      <c r="C88" s="94" t="n"/>
      <c r="D88" s="94" t="n"/>
      <c r="E88" s="94" t="n"/>
      <c r="F88" s="94" t="n"/>
      <c r="G88" s="94" t="n"/>
      <c r="H88" s="94" t="n"/>
      <c r="I88" s="94" t="n"/>
      <c r="J88" s="94" t="n"/>
      <c r="K88" s="94" t="n"/>
      <c r="L88" s="94" t="n"/>
      <c r="M88" s="94" t="n"/>
      <c r="N88" s="94" t="n"/>
      <c r="O88" s="94" t="n"/>
      <c r="P88" s="94" t="n"/>
      <c r="Q88" s="94" t="n"/>
      <c r="R88" s="94" t="n"/>
      <c r="S88" s="94" t="n"/>
      <c r="T88" s="94" t="n"/>
      <c r="U88" s="94" t="n"/>
      <c r="V88" s="94" t="n"/>
      <c r="W88" s="94" t="n"/>
      <c r="X88" s="94" t="n"/>
      <c r="Y88" s="94" t="n"/>
      <c r="Z88" s="94" t="n"/>
      <c r="AA88" s="94" t="n"/>
      <c r="AB88" s="94" t="n"/>
      <c r="AC88" s="94" t="n"/>
      <c r="AD88" s="94" t="n"/>
      <c r="AE88" s="94" t="n"/>
      <c r="AF88" s="94" t="n"/>
      <c r="AG88" s="94" t="n"/>
      <c r="AH88" s="94" t="n"/>
      <c r="AI88" s="94" t="n"/>
      <c r="AJ88" s="94" t="n"/>
      <c r="AK88" s="94" t="n"/>
      <c r="AL88" s="94" t="n"/>
      <c r="AM88" s="94" t="n"/>
      <c r="AN88" s="94" t="n"/>
      <c r="AO88" s="94" t="n"/>
      <c r="AP88" s="94" t="n"/>
      <c r="AQ88" s="94" t="n"/>
      <c r="AR88" s="94" t="n"/>
      <c r="AS88" s="94" t="n"/>
      <c r="AT88" s="94" t="n"/>
      <c r="AU88" s="94" t="n"/>
      <c r="AV88" s="94" t="n"/>
      <c r="AW88" s="94" t="n"/>
      <c r="AX88" s="94" t="n"/>
      <c r="AY88" s="94" t="n"/>
      <c r="AZ88" s="94" t="n"/>
      <c r="BA88" s="94" t="n"/>
      <c r="BB88" s="94" t="n"/>
      <c r="BC88" s="94" t="n"/>
      <c r="BD88" s="94" t="n"/>
    </row>
    <row r="89" ht="15.75" customHeight="1" s="163">
      <c r="A89" s="94" t="n"/>
      <c r="B89" s="94" t="n"/>
      <c r="C89" s="94" t="n"/>
      <c r="D89" s="94" t="n"/>
      <c r="E89" s="94" t="n"/>
      <c r="F89" s="94" t="n"/>
      <c r="G89" s="94" t="n"/>
      <c r="H89" s="94" t="n"/>
      <c r="I89" s="94" t="n"/>
      <c r="J89" s="94" t="n"/>
      <c r="K89" s="94" t="n"/>
      <c r="L89" s="94" t="n"/>
      <c r="M89" s="94" t="n"/>
      <c r="N89" s="94" t="n"/>
      <c r="O89" s="94" t="n"/>
      <c r="P89" s="94" t="n"/>
      <c r="Q89" s="94" t="n"/>
      <c r="R89" s="94" t="n"/>
      <c r="S89" s="94" t="n"/>
      <c r="T89" s="94" t="n"/>
      <c r="U89" s="94" t="n"/>
      <c r="V89" s="94" t="n"/>
      <c r="W89" s="94" t="n"/>
      <c r="X89" s="94" t="n"/>
      <c r="Y89" s="94" t="n"/>
      <c r="Z89" s="94" t="n"/>
      <c r="AA89" s="94" t="n"/>
      <c r="AB89" s="94" t="n"/>
      <c r="AC89" s="94" t="n"/>
      <c r="AD89" s="94" t="n"/>
      <c r="AE89" s="94" t="n"/>
      <c r="AF89" s="94" t="n"/>
      <c r="AG89" s="94" t="n"/>
      <c r="AH89" s="94" t="n"/>
      <c r="AI89" s="94" t="n"/>
      <c r="AJ89" s="94" t="n"/>
      <c r="AK89" s="94" t="n"/>
      <c r="AL89" s="94" t="n"/>
      <c r="AM89" s="94" t="n"/>
      <c r="AN89" s="94" t="n"/>
      <c r="AO89" s="94" t="n"/>
      <c r="AP89" s="94" t="n"/>
      <c r="AQ89" s="94" t="n"/>
      <c r="AR89" s="94" t="n"/>
      <c r="AS89" s="94" t="n"/>
      <c r="AT89" s="94" t="n"/>
      <c r="AU89" s="94" t="n"/>
      <c r="AV89" s="94" t="n"/>
      <c r="AW89" s="94" t="n"/>
      <c r="AX89" s="94" t="n"/>
      <c r="AY89" s="94" t="n"/>
      <c r="AZ89" s="94" t="n"/>
      <c r="BA89" s="94" t="n"/>
      <c r="BB89" s="94" t="n"/>
      <c r="BC89" s="94" t="n"/>
      <c r="BD89" s="94" t="n"/>
    </row>
    <row r="90" ht="15.75" customHeight="1" s="163">
      <c r="A90" s="92" t="n"/>
      <c r="B90" s="94" t="n"/>
      <c r="C90" s="94" t="n"/>
      <c r="D90" s="94" t="n"/>
      <c r="E90" s="94" t="n"/>
      <c r="F90" s="94" t="n"/>
      <c r="G90" s="94" t="n"/>
      <c r="H90" s="94" t="n"/>
      <c r="I90" s="94" t="n"/>
      <c r="J90" s="94" t="n"/>
      <c r="K90" s="94" t="n"/>
      <c r="L90" s="94" t="n"/>
      <c r="M90" s="94" t="n"/>
      <c r="N90" s="94" t="n"/>
      <c r="O90" s="94" t="n"/>
      <c r="P90" s="94" t="n"/>
      <c r="Q90" s="94" t="n"/>
      <c r="R90" s="83" t="n"/>
      <c r="S90" s="94" t="n"/>
      <c r="T90" s="94" t="n"/>
      <c r="U90" s="94" t="n"/>
      <c r="V90" s="94" t="n"/>
      <c r="W90" s="94" t="n"/>
      <c r="X90" s="94" t="n"/>
      <c r="Y90" s="94" t="n"/>
      <c r="Z90" s="94" t="n"/>
      <c r="AA90" s="94" t="n"/>
      <c r="AB90" s="94" t="n"/>
      <c r="AC90" s="94" t="n"/>
      <c r="AD90" s="94" t="n"/>
      <c r="AE90" s="94" t="n"/>
      <c r="AF90" s="94" t="n"/>
      <c r="AG90" s="94" t="n"/>
      <c r="AH90" s="94" t="n"/>
      <c r="AI90" s="94" t="n"/>
      <c r="AJ90" s="94" t="n"/>
      <c r="AK90" s="94" t="n"/>
      <c r="AL90" s="94" t="n"/>
      <c r="AM90" s="94" t="n"/>
      <c r="AN90" s="94" t="n"/>
      <c r="AO90" s="94" t="n"/>
      <c r="AP90" s="94" t="n"/>
      <c r="AQ90" s="94" t="n"/>
      <c r="AR90" s="94" t="n"/>
      <c r="AS90" s="94" t="n"/>
      <c r="AT90" s="94" t="n"/>
      <c r="AU90" s="94" t="n"/>
      <c r="AV90" s="94" t="n"/>
      <c r="AW90" s="94" t="n"/>
      <c r="AX90" s="94" t="n"/>
      <c r="AY90" s="94" t="n"/>
      <c r="AZ90" s="94" t="n"/>
      <c r="BA90" s="94" t="n"/>
      <c r="BB90" s="94" t="n"/>
      <c r="BC90" s="94" t="n"/>
      <c r="BD90" s="94" t="n"/>
    </row>
    <row r="91" ht="15.75" customHeight="1" s="163">
      <c r="A91" s="92" t="n"/>
      <c r="B91" s="94" t="n"/>
      <c r="C91" s="94" t="n"/>
      <c r="D91" s="94" t="n"/>
      <c r="E91" s="94" t="n"/>
      <c r="F91" s="94" t="n"/>
      <c r="G91" s="94" t="n"/>
      <c r="H91" s="94" t="n"/>
      <c r="I91" s="94" t="n"/>
      <c r="J91" s="94" t="n"/>
      <c r="K91" s="94" t="n"/>
      <c r="L91" s="94" t="n"/>
      <c r="M91" s="94" t="n"/>
      <c r="N91" s="94" t="n"/>
      <c r="O91" s="94" t="n"/>
      <c r="P91" s="94" t="n"/>
      <c r="Q91" s="94" t="n"/>
      <c r="R91" s="83" t="n"/>
      <c r="S91" s="94" t="n"/>
      <c r="T91" s="94" t="n"/>
      <c r="U91" s="94" t="n"/>
      <c r="V91" s="94" t="n"/>
      <c r="W91" s="94" t="n"/>
      <c r="X91" s="94" t="n"/>
      <c r="Y91" s="94" t="n"/>
      <c r="Z91" s="94" t="n"/>
      <c r="AA91" s="94" t="n"/>
      <c r="AB91" s="94" t="n"/>
      <c r="AC91" s="94" t="n"/>
      <c r="AD91" s="94" t="n"/>
      <c r="AE91" s="94" t="n"/>
      <c r="AF91" s="94" t="n"/>
      <c r="AG91" s="94" t="n"/>
      <c r="AH91" s="94" t="n"/>
      <c r="AI91" s="94" t="n"/>
      <c r="AJ91" s="94" t="n"/>
      <c r="AK91" s="94" t="n"/>
      <c r="AL91" s="94" t="n"/>
      <c r="AM91" s="94" t="n"/>
      <c r="AN91" s="94" t="n"/>
      <c r="AO91" s="94" t="n"/>
      <c r="AP91" s="94" t="n"/>
      <c r="AQ91" s="94" t="n"/>
      <c r="AR91" s="94" t="n"/>
      <c r="AS91" s="94" t="n"/>
      <c r="AT91" s="94" t="n"/>
      <c r="AU91" s="94" t="n"/>
      <c r="AV91" s="94" t="n"/>
      <c r="AW91" s="94" t="n"/>
      <c r="AX91" s="94" t="n"/>
      <c r="AY91" s="94" t="n"/>
      <c r="AZ91" s="94" t="n"/>
      <c r="BA91" s="94" t="n"/>
      <c r="BB91" s="94" t="n"/>
      <c r="BC91" s="94" t="n"/>
      <c r="BD91" s="94" t="n"/>
    </row>
    <row r="92" ht="15.75" customHeight="1" s="163">
      <c r="A92" s="94" t="n"/>
      <c r="B92" s="94" t="n"/>
      <c r="C92" s="94" t="n"/>
      <c r="D92" s="94" t="n"/>
      <c r="E92" s="94" t="n"/>
      <c r="F92" s="94" t="n"/>
      <c r="G92" s="94" t="n"/>
      <c r="H92" s="94" t="n"/>
      <c r="I92" s="94" t="n"/>
      <c r="J92" s="94" t="n"/>
      <c r="K92" s="94" t="n"/>
      <c r="L92" s="94" t="n"/>
      <c r="M92" s="94" t="n"/>
      <c r="N92" s="94" t="n"/>
      <c r="O92" s="94" t="n"/>
      <c r="P92" s="94" t="n"/>
      <c r="Q92" s="94" t="n"/>
      <c r="R92" s="94" t="n"/>
      <c r="S92" s="94" t="n"/>
      <c r="T92" s="94" t="n"/>
      <c r="U92" s="94" t="n"/>
      <c r="V92" s="94" t="n"/>
      <c r="W92" s="94" t="n"/>
      <c r="X92" s="94" t="n"/>
      <c r="Y92" s="94" t="n"/>
      <c r="Z92" s="94" t="n"/>
      <c r="AA92" s="94" t="n"/>
      <c r="AB92" s="94" t="n"/>
      <c r="AC92" s="94" t="n"/>
      <c r="AD92" s="94" t="n"/>
      <c r="AE92" s="94" t="n"/>
      <c r="AF92" s="94" t="n"/>
      <c r="AG92" s="94" t="n"/>
      <c r="AH92" s="94" t="n"/>
      <c r="AI92" s="94" t="n"/>
      <c r="AJ92" s="94" t="n"/>
      <c r="AK92" s="94" t="n"/>
      <c r="AL92" s="94" t="n"/>
      <c r="AM92" s="94" t="n"/>
      <c r="AN92" s="94" t="n"/>
      <c r="AO92" s="94" t="n"/>
      <c r="AP92" s="94" t="n"/>
      <c r="AQ92" s="94" t="n"/>
      <c r="AR92" s="94" t="n"/>
      <c r="AS92" s="94" t="n"/>
      <c r="AT92" s="94" t="n"/>
      <c r="AU92" s="94" t="n"/>
      <c r="AV92" s="94" t="n"/>
      <c r="AW92" s="94" t="n"/>
      <c r="AX92" s="94" t="n"/>
      <c r="AY92" s="94" t="n"/>
      <c r="AZ92" s="94" t="n"/>
      <c r="BA92" s="94" t="n"/>
      <c r="BB92" s="94" t="n"/>
      <c r="BC92" s="94" t="n"/>
      <c r="BD92" s="94" t="n"/>
    </row>
    <row r="93" ht="15.75" customHeight="1" s="163">
      <c r="A93" s="94" t="n"/>
      <c r="B93" s="94" t="n"/>
      <c r="C93" s="94" t="n"/>
      <c r="D93" s="94" t="n"/>
      <c r="E93" s="94" t="n"/>
      <c r="F93" s="94" t="n"/>
      <c r="G93" s="94" t="n"/>
      <c r="H93" s="94" t="n"/>
      <c r="I93" s="94" t="n"/>
      <c r="J93" s="94" t="n"/>
      <c r="K93" s="94" t="n"/>
      <c r="L93" s="94" t="n"/>
      <c r="M93" s="94" t="n"/>
      <c r="N93" s="94" t="n"/>
      <c r="O93" s="94" t="n"/>
      <c r="P93" s="94" t="n"/>
      <c r="Q93" s="94" t="n"/>
      <c r="R93" s="94" t="n"/>
      <c r="S93" s="94" t="n"/>
      <c r="T93" s="94" t="n"/>
      <c r="U93" s="94" t="n"/>
      <c r="V93" s="94" t="n"/>
      <c r="W93" s="94" t="n"/>
      <c r="X93" s="94" t="n"/>
      <c r="Y93" s="94" t="n"/>
      <c r="Z93" s="94" t="n"/>
      <c r="AA93" s="94" t="n"/>
      <c r="AB93" s="94" t="n"/>
      <c r="AC93" s="94" t="n"/>
      <c r="AD93" s="94" t="n"/>
      <c r="AE93" s="94" t="n"/>
      <c r="AF93" s="94" t="n"/>
      <c r="AG93" s="94" t="n"/>
      <c r="AH93" s="94" t="n"/>
      <c r="AI93" s="94" t="n"/>
      <c r="AJ93" s="94" t="n"/>
      <c r="AK93" s="94" t="n"/>
      <c r="AL93" s="94" t="n"/>
      <c r="AM93" s="94" t="n"/>
      <c r="AN93" s="94" t="n"/>
      <c r="AO93" s="94" t="n"/>
      <c r="AP93" s="94" t="n"/>
      <c r="AQ93" s="94" t="n"/>
      <c r="AR93" s="94" t="n"/>
      <c r="AS93" s="94" t="n"/>
      <c r="AT93" s="94" t="n"/>
      <c r="AU93" s="94" t="n"/>
      <c r="AV93" s="94" t="n"/>
      <c r="AW93" s="94" t="n"/>
      <c r="AX93" s="94" t="n"/>
      <c r="AY93" s="94" t="n"/>
      <c r="AZ93" s="94" t="n"/>
      <c r="BA93" s="94" t="n"/>
      <c r="BB93" s="94" t="n"/>
      <c r="BC93" s="94" t="n"/>
      <c r="BD93" s="94" t="n"/>
    </row>
    <row r="94" ht="15.75" customHeight="1" s="163">
      <c r="A94" s="94" t="n"/>
      <c r="B94" s="94" t="n"/>
      <c r="C94" s="94" t="n"/>
      <c r="D94" s="94" t="n"/>
      <c r="E94" s="94" t="n"/>
      <c r="F94" s="94" t="n"/>
      <c r="G94" s="94" t="n"/>
      <c r="H94" s="94" t="n"/>
      <c r="I94" s="94" t="n"/>
      <c r="J94" s="94" t="n"/>
      <c r="K94" s="94" t="n"/>
      <c r="L94" s="94" t="n"/>
      <c r="M94" s="94" t="n"/>
      <c r="N94" s="94" t="n"/>
      <c r="O94" s="94" t="n"/>
      <c r="P94" s="94" t="n"/>
      <c r="Q94" s="94" t="n"/>
      <c r="R94" s="94" t="n"/>
      <c r="S94" s="94" t="n"/>
      <c r="T94" s="94" t="n"/>
      <c r="U94" s="94" t="n"/>
      <c r="V94" s="94" t="n"/>
      <c r="W94" s="94" t="n"/>
      <c r="X94" s="94" t="n"/>
      <c r="Y94" s="94" t="n"/>
      <c r="Z94" s="94" t="n"/>
      <c r="AA94" s="94" t="n"/>
      <c r="AB94" s="94" t="n"/>
      <c r="AC94" s="94" t="n"/>
      <c r="AD94" s="94" t="n"/>
      <c r="AE94" s="94" t="n"/>
      <c r="AF94" s="94" t="n"/>
      <c r="AG94" s="94" t="n"/>
      <c r="AH94" s="94" t="n"/>
      <c r="AI94" s="94" t="n"/>
      <c r="AJ94" s="94" t="n"/>
      <c r="AK94" s="94" t="n"/>
      <c r="AL94" s="94" t="n"/>
      <c r="AM94" s="94" t="n"/>
      <c r="AN94" s="94" t="n"/>
      <c r="AO94" s="94" t="n"/>
      <c r="AP94" s="94" t="n"/>
      <c r="AQ94" s="94" t="n"/>
      <c r="AR94" s="94" t="n"/>
      <c r="AS94" s="94" t="n"/>
      <c r="AT94" s="94" t="n"/>
      <c r="AU94" s="94" t="n"/>
      <c r="AV94" s="94" t="n"/>
      <c r="AW94" s="94" t="n"/>
      <c r="AX94" s="94" t="n"/>
      <c r="AY94" s="94" t="n"/>
      <c r="AZ94" s="94" t="n"/>
      <c r="BA94" s="94" t="n"/>
      <c r="BB94" s="94" t="n"/>
      <c r="BC94" s="94" t="n"/>
      <c r="BD94" s="94" t="n"/>
    </row>
    <row r="95" ht="15.75" customHeight="1" s="163">
      <c r="A95" s="94" t="n"/>
      <c r="B95" s="94" t="n"/>
      <c r="C95" s="94" t="n"/>
      <c r="D95" s="94" t="n"/>
      <c r="E95" s="94" t="n"/>
      <c r="F95" s="94" t="n"/>
      <c r="G95" s="94" t="n"/>
      <c r="H95" s="94" t="n"/>
      <c r="I95" s="94" t="n"/>
      <c r="J95" s="94" t="n"/>
      <c r="K95" s="94" t="n"/>
      <c r="L95" s="94" t="n"/>
      <c r="M95" s="94" t="n"/>
      <c r="N95" s="94" t="n"/>
      <c r="O95" s="94" t="n"/>
      <c r="P95" s="94" t="n"/>
      <c r="Q95" s="94" t="n"/>
      <c r="R95" s="94" t="n"/>
      <c r="S95" s="94" t="n"/>
      <c r="T95" s="94" t="n"/>
      <c r="U95" s="94" t="n"/>
      <c r="V95" s="94" t="n"/>
      <c r="W95" s="94" t="n"/>
      <c r="X95" s="94" t="n"/>
      <c r="Y95" s="94" t="n"/>
      <c r="Z95" s="94" t="n"/>
      <c r="AA95" s="94" t="n"/>
      <c r="AB95" s="94" t="n"/>
      <c r="AC95" s="94" t="n"/>
      <c r="AD95" s="94" t="n"/>
      <c r="AE95" s="94" t="n"/>
      <c r="AF95" s="94" t="n"/>
      <c r="AG95" s="94" t="n"/>
      <c r="AH95" s="94" t="n"/>
      <c r="AI95" s="94" t="n"/>
      <c r="AJ95" s="94" t="n"/>
      <c r="AK95" s="94" t="n"/>
      <c r="AL95" s="94" t="n"/>
      <c r="AM95" s="94" t="n"/>
      <c r="AN95" s="94" t="n"/>
      <c r="AO95" s="94" t="n"/>
      <c r="AP95" s="94" t="n"/>
      <c r="AQ95" s="94" t="n"/>
      <c r="AR95" s="94" t="n"/>
      <c r="AS95" s="94" t="n"/>
      <c r="AT95" s="94" t="n"/>
      <c r="AU95" s="94" t="n"/>
      <c r="AV95" s="94" t="n"/>
      <c r="AW95" s="94" t="n"/>
      <c r="AX95" s="94" t="n"/>
      <c r="AY95" s="94" t="n"/>
      <c r="AZ95" s="94" t="n"/>
      <c r="BA95" s="94" t="n"/>
      <c r="BB95" s="94" t="n"/>
      <c r="BC95" s="94" t="n"/>
      <c r="BD95" s="94" t="n"/>
    </row>
    <row r="96" ht="15.75" customHeight="1" s="163">
      <c r="A96" s="94" t="n"/>
      <c r="B96" s="94" t="n"/>
      <c r="C96" s="94" t="n"/>
      <c r="D96" s="94" t="n"/>
      <c r="E96" s="94" t="n"/>
      <c r="F96" s="94" t="n"/>
      <c r="G96" s="94" t="n"/>
      <c r="H96" s="94" t="n"/>
      <c r="I96" s="94" t="n"/>
      <c r="J96" s="94" t="n"/>
      <c r="K96" s="94" t="n"/>
      <c r="L96" s="94" t="n"/>
      <c r="M96" s="94" t="n"/>
      <c r="N96" s="94" t="n"/>
      <c r="O96" s="94" t="n"/>
      <c r="P96" s="94" t="n"/>
      <c r="Q96" s="94" t="n"/>
      <c r="R96" s="94" t="n"/>
      <c r="S96" s="94" t="n"/>
      <c r="T96" s="94" t="n"/>
      <c r="U96" s="94" t="n"/>
      <c r="V96" s="94" t="n"/>
      <c r="W96" s="94" t="n"/>
      <c r="X96" s="94" t="n"/>
      <c r="Y96" s="94" t="n"/>
      <c r="Z96" s="94" t="n"/>
      <c r="AA96" s="94" t="n"/>
      <c r="AB96" s="94" t="n"/>
      <c r="AC96" s="94" t="n"/>
      <c r="AD96" s="94" t="n"/>
      <c r="AE96" s="94" t="n"/>
      <c r="AF96" s="94" t="n"/>
      <c r="AG96" s="94" t="n"/>
      <c r="AH96" s="94" t="n"/>
      <c r="AI96" s="94" t="n"/>
      <c r="AJ96" s="94" t="n"/>
      <c r="AK96" s="94" t="n"/>
      <c r="AL96" s="94" t="n"/>
      <c r="AM96" s="94" t="n"/>
      <c r="AN96" s="94" t="n"/>
      <c r="AO96" s="94" t="n"/>
      <c r="AP96" s="94" t="n"/>
      <c r="AQ96" s="94" t="n"/>
      <c r="AR96" s="94" t="n"/>
      <c r="AS96" s="94" t="n"/>
      <c r="AT96" s="94" t="n"/>
      <c r="AU96" s="94" t="n"/>
      <c r="AV96" s="94" t="n"/>
      <c r="AW96" s="94" t="n"/>
      <c r="AX96" s="94" t="n"/>
      <c r="AY96" s="94" t="n"/>
      <c r="AZ96" s="94" t="n"/>
      <c r="BA96" s="94" t="n"/>
      <c r="BB96" s="94" t="n"/>
      <c r="BC96" s="94" t="n"/>
      <c r="BD96" s="94" t="n"/>
    </row>
    <row r="97" ht="15.75" customHeight="1" s="163">
      <c r="A97" s="94" t="n"/>
      <c r="B97" s="94" t="n"/>
      <c r="C97" s="94" t="n"/>
      <c r="D97" s="94" t="n"/>
      <c r="E97" s="94" t="n"/>
      <c r="F97" s="94" t="n"/>
      <c r="G97" s="94" t="n"/>
      <c r="H97" s="94" t="n"/>
      <c r="I97" s="94" t="n"/>
      <c r="J97" s="94" t="n"/>
      <c r="K97" s="94" t="n"/>
      <c r="L97" s="94" t="n"/>
      <c r="M97" s="94" t="n"/>
      <c r="N97" s="94" t="n"/>
      <c r="O97" s="94" t="n"/>
      <c r="P97" s="94" t="n"/>
      <c r="Q97" s="94" t="n"/>
      <c r="R97" s="94" t="n"/>
      <c r="S97" s="94" t="n"/>
      <c r="T97" s="94" t="n"/>
      <c r="U97" s="94" t="n"/>
      <c r="V97" s="94" t="n"/>
      <c r="W97" s="94" t="n"/>
      <c r="X97" s="94" t="n"/>
      <c r="Y97" s="94" t="n"/>
      <c r="Z97" s="94" t="n"/>
      <c r="AA97" s="94" t="n"/>
      <c r="AB97" s="94" t="n"/>
      <c r="AC97" s="94" t="n"/>
      <c r="AD97" s="94" t="n"/>
      <c r="AE97" s="94" t="n"/>
      <c r="AF97" s="94" t="n"/>
      <c r="AG97" s="94" t="n"/>
      <c r="AH97" s="94" t="n"/>
      <c r="AI97" s="94" t="n"/>
      <c r="AJ97" s="94" t="n"/>
      <c r="AK97" s="94" t="n"/>
      <c r="AL97" s="94" t="n"/>
      <c r="AM97" s="94" t="n"/>
      <c r="AN97" s="94" t="n"/>
      <c r="AO97" s="94" t="n"/>
      <c r="AP97" s="94" t="n"/>
      <c r="AQ97" s="94" t="n"/>
      <c r="AR97" s="94" t="n"/>
      <c r="AS97" s="94" t="n"/>
      <c r="AT97" s="94" t="n"/>
      <c r="AU97" s="94" t="n"/>
      <c r="AV97" s="94" t="n"/>
      <c r="AW97" s="94" t="n"/>
      <c r="AX97" s="94" t="n"/>
      <c r="AY97" s="94" t="n"/>
      <c r="AZ97" s="94" t="n"/>
      <c r="BA97" s="94" t="n"/>
      <c r="BB97" s="94" t="n"/>
      <c r="BC97" s="94" t="n"/>
      <c r="BD97" s="94" t="n"/>
    </row>
    <row r="98" ht="15.75" customHeight="1" s="163">
      <c r="A98" s="92" t="n"/>
      <c r="B98" s="94" t="n"/>
      <c r="C98" s="94" t="n"/>
      <c r="D98" s="94" t="n"/>
      <c r="E98" s="94" t="n"/>
      <c r="F98" s="94" t="n"/>
      <c r="G98" s="94" t="n"/>
      <c r="H98" s="94" t="n"/>
      <c r="I98" s="94" t="n"/>
      <c r="J98" s="94" t="n"/>
      <c r="K98" s="94" t="n"/>
      <c r="L98" s="94" t="n"/>
      <c r="M98" s="94" t="n"/>
      <c r="N98" s="94" t="n"/>
      <c r="O98" s="94" t="n"/>
      <c r="P98" s="94" t="n"/>
      <c r="Q98" s="94" t="n"/>
      <c r="R98" s="83" t="n"/>
      <c r="S98" s="94" t="n"/>
      <c r="T98" s="94" t="n"/>
      <c r="U98" s="94" t="n"/>
      <c r="V98" s="94" t="n"/>
      <c r="W98" s="94" t="n"/>
      <c r="X98" s="94" t="n"/>
      <c r="Y98" s="94" t="n"/>
      <c r="Z98" s="94" t="n"/>
      <c r="AA98" s="94" t="n"/>
      <c r="AB98" s="94" t="n"/>
      <c r="AC98" s="94" t="n"/>
      <c r="AD98" s="94" t="n"/>
      <c r="AE98" s="94" t="n"/>
      <c r="AF98" s="94" t="n"/>
      <c r="AG98" s="94" t="n"/>
      <c r="AH98" s="94" t="n"/>
      <c r="AI98" s="94" t="n"/>
      <c r="AJ98" s="94" t="n"/>
      <c r="AK98" s="94" t="n"/>
      <c r="AL98" s="94" t="n"/>
      <c r="AM98" s="94" t="n"/>
      <c r="AN98" s="94" t="n"/>
      <c r="AO98" s="94" t="n"/>
      <c r="AP98" s="94" t="n"/>
      <c r="AQ98" s="94" t="n"/>
      <c r="AR98" s="94" t="n"/>
      <c r="AS98" s="94" t="n"/>
      <c r="AT98" s="94" t="n"/>
      <c r="AU98" s="94" t="n"/>
      <c r="AV98" s="94" t="n"/>
      <c r="AW98" s="94" t="n"/>
      <c r="AX98" s="94" t="n"/>
      <c r="AY98" s="94" t="n"/>
      <c r="AZ98" s="94" t="n"/>
      <c r="BA98" s="94" t="n"/>
      <c r="BB98" s="94" t="n"/>
      <c r="BC98" s="94" t="n"/>
      <c r="BD98" s="94" t="n"/>
    </row>
    <row r="99" ht="15.75" customHeight="1" s="163">
      <c r="A99" s="92" t="n"/>
      <c r="B99" s="94" t="n"/>
      <c r="C99" s="94" t="n"/>
      <c r="D99" s="94" t="n"/>
      <c r="E99" s="94" t="n"/>
      <c r="F99" s="94" t="n"/>
      <c r="G99" s="94" t="n"/>
      <c r="H99" s="94" t="n"/>
      <c r="I99" s="94" t="n"/>
      <c r="J99" s="94" t="n"/>
      <c r="K99" s="94" t="n"/>
      <c r="L99" s="94" t="n"/>
      <c r="M99" s="94" t="n"/>
      <c r="N99" s="94" t="n"/>
      <c r="O99" s="94" t="n"/>
      <c r="P99" s="94" t="n"/>
      <c r="Q99" s="94" t="n"/>
      <c r="R99" s="83" t="n"/>
      <c r="S99" s="94" t="n"/>
      <c r="T99" s="94" t="n"/>
      <c r="U99" s="94" t="n"/>
      <c r="V99" s="94" t="n"/>
      <c r="W99" s="94" t="n"/>
      <c r="X99" s="94" t="n"/>
      <c r="Y99" s="94" t="n"/>
      <c r="Z99" s="94" t="n"/>
      <c r="AA99" s="94" t="n"/>
      <c r="AB99" s="94" t="n"/>
      <c r="AC99" s="94" t="n"/>
      <c r="AD99" s="94" t="n"/>
      <c r="AE99" s="94" t="n"/>
      <c r="AF99" s="94" t="n"/>
      <c r="AG99" s="94" t="n"/>
      <c r="AH99" s="94" t="n"/>
      <c r="AI99" s="94" t="n"/>
      <c r="AJ99" s="94" t="n"/>
      <c r="AK99" s="94" t="n"/>
      <c r="AL99" s="94" t="n"/>
      <c r="AM99" s="94" t="n"/>
      <c r="AN99" s="94" t="n"/>
      <c r="AO99" s="94" t="n"/>
      <c r="AP99" s="94" t="n"/>
      <c r="AQ99" s="94" t="n"/>
      <c r="AR99" s="94" t="n"/>
      <c r="AS99" s="94" t="n"/>
      <c r="AT99" s="94" t="n"/>
      <c r="AU99" s="94" t="n"/>
      <c r="AV99" s="94" t="n"/>
      <c r="AW99" s="94" t="n"/>
      <c r="AX99" s="94" t="n"/>
      <c r="AY99" s="94" t="n"/>
      <c r="AZ99" s="94" t="n"/>
      <c r="BA99" s="94" t="n"/>
      <c r="BB99" s="94" t="n"/>
      <c r="BC99" s="94" t="n"/>
      <c r="BD99" s="94" t="n"/>
    </row>
    <row r="100" ht="15.75" customHeight="1" s="163">
      <c r="A100" s="94" t="n"/>
      <c r="B100" s="94" t="n"/>
      <c r="C100" s="94" t="n"/>
      <c r="D100" s="94" t="n"/>
      <c r="E100" s="94" t="n"/>
      <c r="F100" s="94" t="n"/>
      <c r="G100" s="94" t="n"/>
      <c r="H100" s="94" t="n"/>
      <c r="I100" s="94" t="n"/>
      <c r="J100" s="94" t="n"/>
      <c r="K100" s="94" t="n"/>
      <c r="L100" s="94" t="n"/>
      <c r="M100" s="94" t="n"/>
      <c r="N100" s="94" t="n"/>
      <c r="O100" s="94" t="n"/>
      <c r="P100" s="94" t="n"/>
      <c r="Q100" s="94" t="n"/>
      <c r="R100" s="94" t="n"/>
      <c r="S100" s="94" t="n"/>
      <c r="T100" s="94" t="n"/>
      <c r="U100" s="94" t="n"/>
      <c r="V100" s="94" t="n"/>
      <c r="W100" s="94" t="n"/>
      <c r="X100" s="94" t="n"/>
      <c r="Y100" s="94" t="n"/>
      <c r="Z100" s="94" t="n"/>
      <c r="AA100" s="94" t="n"/>
      <c r="AB100" s="94" t="n"/>
      <c r="AC100" s="94" t="n"/>
      <c r="AD100" s="94" t="n"/>
      <c r="AE100" s="94" t="n"/>
      <c r="AF100" s="94" t="n"/>
      <c r="AG100" s="94" t="n"/>
      <c r="AH100" s="94" t="n"/>
      <c r="AI100" s="94" t="n"/>
      <c r="AJ100" s="94" t="n"/>
      <c r="AK100" s="94" t="n"/>
      <c r="AL100" s="94" t="n"/>
      <c r="AM100" s="94" t="n"/>
      <c r="AN100" s="94" t="n"/>
      <c r="AO100" s="94" t="n"/>
      <c r="AP100" s="94" t="n"/>
      <c r="AQ100" s="94" t="n"/>
      <c r="AR100" s="94" t="n"/>
      <c r="AS100" s="94" t="n"/>
      <c r="AT100" s="94" t="n"/>
      <c r="AU100" s="94" t="n"/>
      <c r="AV100" s="94" t="n"/>
      <c r="AW100" s="94" t="n"/>
      <c r="AX100" s="94" t="n"/>
      <c r="AY100" s="94" t="n"/>
      <c r="AZ100" s="94" t="n"/>
      <c r="BA100" s="94" t="n"/>
      <c r="BB100" s="94" t="n"/>
      <c r="BC100" s="94" t="n"/>
      <c r="BD100" s="94" t="n"/>
    </row>
    <row r="101" ht="15.75" customHeight="1" s="163">
      <c r="A101" s="94" t="n"/>
      <c r="B101" s="94" t="n"/>
      <c r="C101" s="94" t="n"/>
      <c r="D101" s="94" t="n"/>
      <c r="E101" s="94" t="n"/>
      <c r="F101" s="94" t="n"/>
      <c r="G101" s="94" t="n"/>
      <c r="H101" s="94" t="n"/>
      <c r="I101" s="94" t="n"/>
      <c r="J101" s="94" t="n"/>
      <c r="K101" s="94" t="n"/>
      <c r="L101" s="94" t="n"/>
      <c r="M101" s="94" t="n"/>
      <c r="N101" s="94" t="n"/>
      <c r="O101" s="94" t="n"/>
      <c r="P101" s="94" t="n"/>
      <c r="Q101" s="94" t="n"/>
      <c r="R101" s="94" t="n"/>
      <c r="S101" s="94" t="n"/>
      <c r="T101" s="94" t="n"/>
      <c r="U101" s="94" t="n"/>
      <c r="V101" s="94" t="n"/>
      <c r="W101" s="94" t="n"/>
      <c r="X101" s="94" t="n"/>
      <c r="Y101" s="94" t="n"/>
      <c r="Z101" s="94" t="n"/>
      <c r="AA101" s="94" t="n"/>
      <c r="AB101" s="94" t="n"/>
      <c r="AC101" s="94" t="n"/>
      <c r="AD101" s="94" t="n"/>
      <c r="AE101" s="94" t="n"/>
      <c r="AF101" s="94" t="n"/>
      <c r="AG101" s="94" t="n"/>
      <c r="AH101" s="94" t="n"/>
      <c r="AI101" s="94" t="n"/>
      <c r="AJ101" s="94" t="n"/>
      <c r="AK101" s="94" t="n"/>
      <c r="AL101" s="94" t="n"/>
      <c r="AM101" s="94" t="n"/>
      <c r="AN101" s="94" t="n"/>
      <c r="AO101" s="94" t="n"/>
      <c r="AP101" s="94" t="n"/>
      <c r="AQ101" s="94" t="n"/>
      <c r="AR101" s="94" t="n"/>
      <c r="AS101" s="94" t="n"/>
      <c r="AT101" s="94" t="n"/>
      <c r="AU101" s="94" t="n"/>
      <c r="AV101" s="94" t="n"/>
      <c r="AW101" s="94" t="n"/>
      <c r="AX101" s="94" t="n"/>
      <c r="AY101" s="94" t="n"/>
      <c r="AZ101" s="94" t="n"/>
      <c r="BA101" s="94" t="n"/>
      <c r="BB101" s="94" t="n"/>
      <c r="BC101" s="94" t="n"/>
      <c r="BD101" s="94" t="n"/>
    </row>
    <row r="102" ht="15.75" customHeight="1" s="163">
      <c r="A102" s="94" t="n"/>
      <c r="B102" s="94" t="n"/>
      <c r="C102" s="94" t="n"/>
      <c r="D102" s="94" t="n"/>
      <c r="E102" s="94" t="n"/>
      <c r="F102" s="94" t="n"/>
      <c r="G102" s="94" t="n"/>
      <c r="H102" s="94" t="n"/>
      <c r="I102" s="94" t="n"/>
      <c r="J102" s="94" t="n"/>
      <c r="K102" s="94" t="n"/>
      <c r="L102" s="94" t="n"/>
      <c r="M102" s="94" t="n"/>
      <c r="N102" s="94" t="n"/>
      <c r="O102" s="94" t="n"/>
      <c r="P102" s="94" t="n"/>
      <c r="Q102" s="94" t="n"/>
      <c r="R102" s="94" t="n"/>
      <c r="S102" s="94" t="n"/>
      <c r="T102" s="94" t="n"/>
      <c r="U102" s="94" t="n"/>
      <c r="V102" s="94" t="n"/>
      <c r="W102" s="94" t="n"/>
      <c r="X102" s="94" t="n"/>
      <c r="Y102" s="94" t="n"/>
      <c r="Z102" s="94" t="n"/>
      <c r="AA102" s="94" t="n"/>
      <c r="AB102" s="94" t="n"/>
      <c r="AC102" s="94" t="n"/>
      <c r="AD102" s="94" t="n"/>
      <c r="AE102" s="94" t="n"/>
      <c r="AF102" s="94" t="n"/>
      <c r="AG102" s="94" t="n"/>
      <c r="AH102" s="94" t="n"/>
      <c r="AI102" s="94" t="n"/>
      <c r="AJ102" s="94" t="n"/>
      <c r="AK102" s="94" t="n"/>
      <c r="AL102" s="94" t="n"/>
      <c r="AM102" s="94" t="n"/>
      <c r="AN102" s="94" t="n"/>
      <c r="AO102" s="94" t="n"/>
      <c r="AP102" s="94" t="n"/>
      <c r="AQ102" s="94" t="n"/>
      <c r="AR102" s="94" t="n"/>
      <c r="AS102" s="94" t="n"/>
      <c r="AT102" s="94" t="n"/>
      <c r="AU102" s="94" t="n"/>
      <c r="AV102" s="94" t="n"/>
      <c r="AW102" s="94" t="n"/>
      <c r="AX102" s="94" t="n"/>
      <c r="AY102" s="94" t="n"/>
      <c r="AZ102" s="94" t="n"/>
      <c r="BA102" s="94" t="n"/>
      <c r="BB102" s="94" t="n"/>
      <c r="BC102" s="94" t="n"/>
      <c r="BD102" s="94" t="n"/>
    </row>
    <row r="103" ht="15.75" customHeight="1" s="163">
      <c r="A103" s="94" t="n"/>
      <c r="B103" s="94" t="n"/>
      <c r="C103" s="94" t="n"/>
      <c r="D103" s="94" t="n"/>
      <c r="E103" s="94" t="n"/>
      <c r="F103" s="94" t="n"/>
      <c r="G103" s="94" t="n"/>
      <c r="H103" s="94" t="n"/>
      <c r="I103" s="94" t="n"/>
      <c r="J103" s="94" t="n"/>
      <c r="K103" s="94" t="n"/>
      <c r="L103" s="94" t="n"/>
      <c r="M103" s="94" t="n"/>
      <c r="N103" s="94" t="n"/>
      <c r="O103" s="94" t="n"/>
      <c r="P103" s="94" t="n"/>
      <c r="Q103" s="94" t="n"/>
      <c r="R103" s="94" t="n"/>
      <c r="S103" s="94" t="n"/>
      <c r="T103" s="94" t="n"/>
      <c r="U103" s="94" t="n"/>
      <c r="V103" s="94" t="n"/>
      <c r="W103" s="94" t="n"/>
      <c r="X103" s="94" t="n"/>
      <c r="Y103" s="94" t="n"/>
      <c r="Z103" s="94" t="n"/>
      <c r="AA103" s="94" t="n"/>
      <c r="AB103" s="94" t="n"/>
      <c r="AC103" s="94" t="n"/>
      <c r="AD103" s="94" t="n"/>
      <c r="AE103" s="94" t="n"/>
      <c r="AF103" s="94" t="n"/>
      <c r="AG103" s="94" t="n"/>
      <c r="AH103" s="94" t="n"/>
      <c r="AI103" s="94" t="n"/>
      <c r="AJ103" s="94" t="n"/>
      <c r="AK103" s="94" t="n"/>
      <c r="AL103" s="94" t="n"/>
      <c r="AM103" s="94" t="n"/>
      <c r="AN103" s="94" t="n"/>
      <c r="AO103" s="94" t="n"/>
      <c r="AP103" s="94" t="n"/>
      <c r="AQ103" s="94" t="n"/>
      <c r="AR103" s="94" t="n"/>
      <c r="AS103" s="94" t="n"/>
      <c r="AT103" s="94" t="n"/>
      <c r="AU103" s="94" t="n"/>
      <c r="AV103" s="94" t="n"/>
      <c r="AW103" s="94" t="n"/>
      <c r="AX103" s="94" t="n"/>
      <c r="AY103" s="94" t="n"/>
      <c r="AZ103" s="94" t="n"/>
      <c r="BA103" s="94" t="n"/>
      <c r="BB103" s="94" t="n"/>
      <c r="BC103" s="94" t="n"/>
      <c r="BD103" s="94" t="n"/>
    </row>
    <row r="104" ht="15.75" customHeight="1" s="163">
      <c r="A104" s="94" t="n"/>
      <c r="B104" s="94" t="n"/>
      <c r="C104" s="94" t="n"/>
      <c r="D104" s="94" t="n"/>
      <c r="E104" s="94" t="n"/>
      <c r="F104" s="94" t="n"/>
      <c r="G104" s="94" t="n"/>
      <c r="H104" s="94" t="n"/>
      <c r="I104" s="94" t="n"/>
      <c r="J104" s="94" t="n"/>
      <c r="K104" s="94" t="n"/>
      <c r="L104" s="94" t="n"/>
      <c r="M104" s="94" t="n"/>
      <c r="N104" s="94" t="n"/>
      <c r="O104" s="94" t="n"/>
      <c r="P104" s="94" t="n"/>
      <c r="Q104" s="94" t="n"/>
      <c r="R104" s="94" t="n"/>
      <c r="S104" s="94" t="n"/>
      <c r="T104" s="94" t="n"/>
      <c r="U104" s="94" t="n"/>
      <c r="V104" s="94" t="n"/>
      <c r="W104" s="94" t="n"/>
      <c r="X104" s="94" t="n"/>
      <c r="Y104" s="94" t="n"/>
      <c r="Z104" s="94" t="n"/>
      <c r="AA104" s="94" t="n"/>
      <c r="AB104" s="94" t="n"/>
      <c r="AC104" s="94" t="n"/>
      <c r="AD104" s="94" t="n"/>
      <c r="AE104" s="94" t="n"/>
      <c r="AF104" s="94" t="n"/>
      <c r="AG104" s="94" t="n"/>
      <c r="AH104" s="94" t="n"/>
      <c r="AI104" s="94" t="n"/>
      <c r="AJ104" s="94" t="n"/>
      <c r="AK104" s="94" t="n"/>
      <c r="AL104" s="94" t="n"/>
      <c r="AM104" s="94" t="n"/>
      <c r="AN104" s="94" t="n"/>
      <c r="AO104" s="94" t="n"/>
      <c r="AP104" s="94" t="n"/>
      <c r="AQ104" s="94" t="n"/>
      <c r="AR104" s="94" t="n"/>
      <c r="AS104" s="94" t="n"/>
      <c r="AT104" s="94" t="n"/>
      <c r="AU104" s="94" t="n"/>
      <c r="AV104" s="94" t="n"/>
      <c r="AW104" s="94" t="n"/>
      <c r="AX104" s="94" t="n"/>
      <c r="AY104" s="94" t="n"/>
      <c r="AZ104" s="94" t="n"/>
      <c r="BA104" s="94" t="n"/>
      <c r="BB104" s="94" t="n"/>
      <c r="BC104" s="94" t="n"/>
      <c r="BD104" s="94" t="n"/>
    </row>
    <row r="105" ht="15.75" customHeight="1" s="163">
      <c r="A105" s="94" t="n"/>
      <c r="B105" s="94" t="n"/>
      <c r="C105" s="94" t="n"/>
      <c r="D105" s="94" t="n"/>
      <c r="E105" s="94" t="n"/>
      <c r="F105" s="94" t="n"/>
      <c r="G105" s="94" t="n"/>
      <c r="H105" s="94" t="n"/>
      <c r="I105" s="94" t="n"/>
      <c r="J105" s="94" t="n"/>
      <c r="K105" s="94" t="n"/>
      <c r="L105" s="94" t="n"/>
      <c r="M105" s="94" t="n"/>
      <c r="N105" s="94" t="n"/>
      <c r="O105" s="94" t="n"/>
      <c r="P105" s="94" t="n"/>
      <c r="Q105" s="94" t="n"/>
      <c r="R105" s="94" t="n"/>
      <c r="S105" s="94" t="n"/>
      <c r="T105" s="94" t="n"/>
      <c r="U105" s="94" t="n"/>
      <c r="V105" s="94" t="n"/>
      <c r="W105" s="94" t="n"/>
      <c r="X105" s="94" t="n"/>
      <c r="Y105" s="94" t="n"/>
      <c r="Z105" s="94" t="n"/>
      <c r="AA105" s="94" t="n"/>
      <c r="AB105" s="94" t="n"/>
      <c r="AC105" s="94" t="n"/>
      <c r="AD105" s="94" t="n"/>
      <c r="AE105" s="94" t="n"/>
      <c r="AF105" s="94" t="n"/>
      <c r="AG105" s="94" t="n"/>
      <c r="AH105" s="94" t="n"/>
      <c r="AI105" s="94" t="n"/>
      <c r="AJ105" s="94" t="n"/>
      <c r="AK105" s="94" t="n"/>
      <c r="AL105" s="94" t="n"/>
      <c r="AM105" s="94" t="n"/>
      <c r="AN105" s="94" t="n"/>
      <c r="AO105" s="94" t="n"/>
      <c r="AP105" s="94" t="n"/>
      <c r="AQ105" s="94" t="n"/>
      <c r="AR105" s="94" t="n"/>
      <c r="AS105" s="94" t="n"/>
      <c r="AT105" s="94" t="n"/>
      <c r="AU105" s="94" t="n"/>
      <c r="AV105" s="94" t="n"/>
      <c r="AW105" s="94" t="n"/>
      <c r="AX105" s="94" t="n"/>
      <c r="AY105" s="94" t="n"/>
      <c r="AZ105" s="94" t="n"/>
      <c r="BA105" s="94" t="n"/>
      <c r="BB105" s="94" t="n"/>
      <c r="BC105" s="94" t="n"/>
      <c r="BD105" s="94" t="n"/>
    </row>
    <row r="106" ht="15.75" customHeight="1" s="163">
      <c r="A106" s="94" t="n"/>
      <c r="B106" s="94" t="n"/>
      <c r="C106" s="94" t="n"/>
      <c r="D106" s="94" t="n"/>
      <c r="E106" s="94" t="n"/>
      <c r="F106" s="94" t="n"/>
      <c r="G106" s="94" t="n"/>
      <c r="H106" s="94" t="n"/>
      <c r="I106" s="94" t="n"/>
      <c r="J106" s="94" t="n"/>
      <c r="K106" s="94" t="n"/>
      <c r="L106" s="94" t="n"/>
      <c r="M106" s="94" t="n"/>
      <c r="N106" s="94" t="n"/>
      <c r="O106" s="94" t="n"/>
      <c r="P106" s="94" t="n"/>
      <c r="Q106" s="94" t="n"/>
      <c r="R106" s="94" t="n"/>
      <c r="S106" s="94" t="n"/>
      <c r="T106" s="94" t="n"/>
      <c r="U106" s="94" t="n"/>
      <c r="V106" s="94" t="n"/>
      <c r="W106" s="94" t="n"/>
      <c r="X106" s="94" t="n"/>
      <c r="Y106" s="94" t="n"/>
      <c r="Z106" s="94" t="n"/>
      <c r="AA106" s="94" t="n"/>
      <c r="AB106" s="94" t="n"/>
      <c r="AC106" s="94" t="n"/>
      <c r="AD106" s="94" t="n"/>
      <c r="AE106" s="94" t="n"/>
      <c r="AF106" s="94" t="n"/>
      <c r="AG106" s="94" t="n"/>
      <c r="AH106" s="94" t="n"/>
      <c r="AI106" s="94" t="n"/>
      <c r="AJ106" s="94" t="n"/>
      <c r="AK106" s="94" t="n"/>
      <c r="AL106" s="94" t="n"/>
      <c r="AM106" s="94" t="n"/>
      <c r="AN106" s="94" t="n"/>
      <c r="AO106" s="94" t="n"/>
      <c r="AP106" s="94" t="n"/>
      <c r="AQ106" s="94" t="n"/>
      <c r="AR106" s="94" t="n"/>
      <c r="AS106" s="94" t="n"/>
      <c r="AT106" s="94" t="n"/>
      <c r="AU106" s="94" t="n"/>
      <c r="AV106" s="94" t="n"/>
      <c r="AW106" s="94" t="n"/>
      <c r="AX106" s="94" t="n"/>
      <c r="AY106" s="94" t="n"/>
      <c r="AZ106" s="94" t="n"/>
      <c r="BA106" s="94" t="n"/>
      <c r="BB106" s="94" t="n"/>
      <c r="BC106" s="94" t="n"/>
      <c r="BD106" s="94" t="n"/>
    </row>
    <row r="107" ht="15.75" customHeight="1" s="163">
      <c r="A107" s="94" t="n"/>
      <c r="B107" s="94" t="n"/>
      <c r="C107" s="94" t="n"/>
      <c r="D107" s="94" t="n"/>
      <c r="E107" s="94" t="n"/>
      <c r="F107" s="94" t="n"/>
      <c r="G107" s="94" t="n"/>
      <c r="H107" s="94" t="n"/>
      <c r="I107" s="94" t="n"/>
      <c r="J107" s="94" t="n"/>
      <c r="K107" s="94" t="n"/>
      <c r="L107" s="94" t="n"/>
      <c r="M107" s="94" t="n"/>
      <c r="N107" s="94" t="n"/>
      <c r="O107" s="94" t="n"/>
      <c r="P107" s="94" t="n"/>
      <c r="Q107" s="94" t="n"/>
      <c r="R107" s="94" t="n"/>
      <c r="S107" s="94" t="n"/>
      <c r="T107" s="94" t="n"/>
      <c r="U107" s="94" t="n"/>
      <c r="V107" s="94" t="n"/>
      <c r="W107" s="94" t="n"/>
      <c r="X107" s="94" t="n"/>
      <c r="Y107" s="94" t="n"/>
      <c r="Z107" s="94" t="n"/>
      <c r="AA107" s="94" t="n"/>
      <c r="AB107" s="94" t="n"/>
      <c r="AC107" s="94" t="n"/>
      <c r="AD107" s="94" t="n"/>
      <c r="AE107" s="94" t="n"/>
      <c r="AF107" s="94" t="n"/>
      <c r="AG107" s="94" t="n"/>
      <c r="AH107" s="94" t="n"/>
      <c r="AI107" s="94" t="n"/>
      <c r="AJ107" s="94" t="n"/>
      <c r="AK107" s="94" t="n"/>
      <c r="AL107" s="94" t="n"/>
      <c r="AM107" s="94" t="n"/>
      <c r="AN107" s="94" t="n"/>
      <c r="AO107" s="94" t="n"/>
      <c r="AP107" s="94" t="n"/>
      <c r="AQ107" s="94" t="n"/>
      <c r="AR107" s="94" t="n"/>
      <c r="AS107" s="94" t="n"/>
      <c r="AT107" s="94" t="n"/>
      <c r="AU107" s="94" t="n"/>
      <c r="AV107" s="94" t="n"/>
      <c r="AW107" s="94" t="n"/>
      <c r="AX107" s="94" t="n"/>
      <c r="AY107" s="94" t="n"/>
      <c r="AZ107" s="94" t="n"/>
      <c r="BA107" s="94" t="n"/>
      <c r="BB107" s="94" t="n"/>
      <c r="BC107" s="94" t="n"/>
      <c r="BD107" s="94" t="n"/>
    </row>
    <row r="108" ht="15.75" customHeight="1" s="163">
      <c r="A108" s="94" t="n"/>
      <c r="B108" s="94" t="n"/>
      <c r="C108" s="94" t="n"/>
      <c r="D108" s="94" t="n"/>
      <c r="E108" s="94" t="n"/>
      <c r="F108" s="94" t="n"/>
      <c r="G108" s="94" t="n"/>
      <c r="H108" s="94" t="n"/>
      <c r="I108" s="94" t="n"/>
      <c r="J108" s="94" t="n"/>
      <c r="K108" s="94" t="n"/>
      <c r="L108" s="94" t="n"/>
      <c r="M108" s="94" t="n"/>
      <c r="N108" s="94" t="n"/>
      <c r="O108" s="94" t="n"/>
      <c r="P108" s="94" t="n"/>
      <c r="Q108" s="94" t="n"/>
      <c r="R108" s="94" t="n"/>
      <c r="S108" s="94" t="n"/>
      <c r="T108" s="94" t="n"/>
      <c r="U108" s="94" t="n"/>
      <c r="V108" s="94" t="n"/>
      <c r="W108" s="94" t="n"/>
      <c r="X108" s="94" t="n"/>
      <c r="Y108" s="94" t="n"/>
      <c r="Z108" s="94" t="n"/>
      <c r="AA108" s="94" t="n"/>
      <c r="AB108" s="94" t="n"/>
      <c r="AC108" s="94" t="n"/>
      <c r="AD108" s="94" t="n"/>
      <c r="AE108" s="94" t="n"/>
      <c r="AF108" s="94" t="n"/>
      <c r="AG108" s="94" t="n"/>
      <c r="AH108" s="94" t="n"/>
      <c r="AI108" s="94" t="n"/>
      <c r="AJ108" s="94" t="n"/>
      <c r="AK108" s="94" t="n"/>
      <c r="AL108" s="94" t="n"/>
      <c r="AM108" s="94" t="n"/>
      <c r="AN108" s="94" t="n"/>
      <c r="AO108" s="94" t="n"/>
      <c r="AP108" s="94" t="n"/>
      <c r="AQ108" s="94" t="n"/>
      <c r="AR108" s="94" t="n"/>
      <c r="AS108" s="94" t="n"/>
      <c r="AT108" s="94" t="n"/>
      <c r="AU108" s="94" t="n"/>
      <c r="AV108" s="94" t="n"/>
      <c r="AW108" s="94" t="n"/>
      <c r="AX108" s="94" t="n"/>
      <c r="AY108" s="94" t="n"/>
      <c r="AZ108" s="94" t="n"/>
      <c r="BA108" s="94" t="n"/>
      <c r="BB108" s="94" t="n"/>
      <c r="BC108" s="94" t="n"/>
      <c r="BD108" s="94" t="n"/>
    </row>
    <row r="109" ht="15.75" customHeight="1" s="163">
      <c r="A109" s="94" t="n"/>
      <c r="B109" s="94" t="n"/>
      <c r="C109" s="94" t="n"/>
      <c r="D109" s="94" t="n"/>
      <c r="E109" s="94" t="n"/>
      <c r="F109" s="94" t="n"/>
      <c r="G109" s="94" t="n"/>
      <c r="H109" s="94" t="n"/>
      <c r="I109" s="94" t="n"/>
      <c r="J109" s="94" t="n"/>
      <c r="K109" s="94" t="n"/>
      <c r="L109" s="94" t="n"/>
      <c r="M109" s="94" t="n"/>
      <c r="N109" s="94" t="n"/>
      <c r="O109" s="94" t="n"/>
      <c r="P109" s="94" t="n"/>
      <c r="Q109" s="94" t="n"/>
      <c r="R109" s="94" t="n"/>
      <c r="S109" s="94" t="n"/>
      <c r="T109" s="94" t="n"/>
      <c r="U109" s="94" t="n"/>
      <c r="V109" s="94" t="n"/>
      <c r="W109" s="94" t="n"/>
      <c r="X109" s="94" t="n"/>
      <c r="Y109" s="94" t="n"/>
      <c r="Z109" s="94" t="n"/>
      <c r="AA109" s="94" t="n"/>
      <c r="AB109" s="94" t="n"/>
      <c r="AC109" s="94" t="n"/>
      <c r="AD109" s="94" t="n"/>
      <c r="AE109" s="94" t="n"/>
      <c r="AF109" s="94" t="n"/>
      <c r="AG109" s="94" t="n"/>
      <c r="AH109" s="94" t="n"/>
      <c r="AI109" s="94" t="n"/>
      <c r="AJ109" s="94" t="n"/>
      <c r="AK109" s="94" t="n"/>
      <c r="AL109" s="94" t="n"/>
      <c r="AM109" s="94" t="n"/>
      <c r="AN109" s="94" t="n"/>
      <c r="AO109" s="94" t="n"/>
      <c r="AP109" s="94" t="n"/>
      <c r="AQ109" s="94" t="n"/>
      <c r="AR109" s="94" t="n"/>
      <c r="AS109" s="94" t="n"/>
      <c r="AT109" s="94" t="n"/>
      <c r="AU109" s="94" t="n"/>
      <c r="AV109" s="94" t="n"/>
      <c r="AW109" s="94" t="n"/>
      <c r="AX109" s="94" t="n"/>
      <c r="AY109" s="94" t="n"/>
      <c r="AZ109" s="94" t="n"/>
      <c r="BA109" s="94" t="n"/>
      <c r="BB109" s="94" t="n"/>
      <c r="BC109" s="94" t="n"/>
      <c r="BD109" s="94" t="n"/>
    </row>
    <row r="110" ht="15.75" customHeight="1" s="163">
      <c r="A110" s="94" t="n"/>
      <c r="B110" s="94" t="n"/>
      <c r="C110" s="94" t="n"/>
      <c r="D110" s="94" t="n"/>
      <c r="E110" s="94" t="n"/>
      <c r="F110" s="94" t="n"/>
      <c r="G110" s="94" t="n"/>
      <c r="H110" s="94" t="n"/>
      <c r="I110" s="94" t="n"/>
      <c r="J110" s="94" t="n"/>
      <c r="K110" s="94" t="n"/>
      <c r="L110" s="94" t="n"/>
      <c r="M110" s="94" t="n"/>
      <c r="N110" s="94" t="n"/>
      <c r="O110" s="94" t="n"/>
      <c r="P110" s="94" t="n"/>
      <c r="Q110" s="94" t="n"/>
      <c r="R110" s="94" t="n"/>
      <c r="S110" s="94" t="n"/>
      <c r="T110" s="94" t="n"/>
      <c r="U110" s="94" t="n"/>
      <c r="V110" s="94" t="n"/>
      <c r="W110" s="94" t="n"/>
      <c r="X110" s="94" t="n"/>
      <c r="Y110" s="94" t="n"/>
      <c r="Z110" s="94" t="n"/>
      <c r="AA110" s="94" t="n"/>
      <c r="AB110" s="94" t="n"/>
      <c r="AC110" s="94" t="n"/>
      <c r="AD110" s="94" t="n"/>
      <c r="AE110" s="94" t="n"/>
      <c r="AF110" s="94" t="n"/>
      <c r="AG110" s="94" t="n"/>
      <c r="AH110" s="94" t="n"/>
      <c r="AI110" s="94" t="n"/>
      <c r="AJ110" s="94" t="n"/>
      <c r="AK110" s="94" t="n"/>
      <c r="AL110" s="94" t="n"/>
      <c r="AM110" s="94" t="n"/>
      <c r="AN110" s="94" t="n"/>
      <c r="AO110" s="94" t="n"/>
      <c r="AP110" s="94" t="n"/>
      <c r="AQ110" s="94" t="n"/>
      <c r="AR110" s="94" t="n"/>
      <c r="AS110" s="94" t="n"/>
      <c r="AT110" s="94" t="n"/>
      <c r="AU110" s="94" t="n"/>
      <c r="AV110" s="94" t="n"/>
      <c r="AW110" s="94" t="n"/>
      <c r="AX110" s="94" t="n"/>
      <c r="AY110" s="94" t="n"/>
      <c r="AZ110" s="94" t="n"/>
      <c r="BA110" s="94" t="n"/>
      <c r="BB110" s="94" t="n"/>
      <c r="BC110" s="94" t="n"/>
      <c r="BD110" s="94" t="n"/>
    </row>
    <row r="111" ht="15.75" customHeight="1" s="163">
      <c r="A111" s="94" t="n"/>
      <c r="B111" s="94" t="n"/>
      <c r="C111" s="94" t="n"/>
      <c r="D111" s="94" t="n"/>
      <c r="E111" s="94" t="n"/>
      <c r="F111" s="94" t="n"/>
      <c r="G111" s="94" t="n"/>
      <c r="H111" s="94" t="n"/>
      <c r="I111" s="94" t="n"/>
      <c r="J111" s="94" t="n"/>
      <c r="K111" s="94" t="n"/>
      <c r="L111" s="94" t="n"/>
      <c r="M111" s="94" t="n"/>
      <c r="N111" s="94" t="n"/>
      <c r="O111" s="94" t="n"/>
      <c r="P111" s="94" t="n"/>
      <c r="Q111" s="94" t="n"/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  <c r="AA111" s="94" t="n"/>
      <c r="AB111" s="94" t="n"/>
      <c r="AC111" s="94" t="n"/>
      <c r="AD111" s="94" t="n"/>
      <c r="AE111" s="94" t="n"/>
      <c r="AF111" s="94" t="n"/>
      <c r="AG111" s="94" t="n"/>
      <c r="AH111" s="94" t="n"/>
      <c r="AI111" s="94" t="n"/>
      <c r="AJ111" s="94" t="n"/>
      <c r="AK111" s="94" t="n"/>
      <c r="AL111" s="94" t="n"/>
      <c r="AM111" s="94" t="n"/>
      <c r="AN111" s="94" t="n"/>
      <c r="AO111" s="94" t="n"/>
      <c r="AP111" s="94" t="n"/>
      <c r="AQ111" s="94" t="n"/>
      <c r="AR111" s="94" t="n"/>
      <c r="AS111" s="94" t="n"/>
      <c r="AT111" s="94" t="n"/>
      <c r="AU111" s="94" t="n"/>
      <c r="AV111" s="94" t="n"/>
      <c r="AW111" s="94" t="n"/>
      <c r="AX111" s="94" t="n"/>
      <c r="AY111" s="94" t="n"/>
      <c r="AZ111" s="94" t="n"/>
      <c r="BA111" s="94" t="n"/>
      <c r="BB111" s="94" t="n"/>
      <c r="BC111" s="94" t="n"/>
      <c r="BD111" s="94" t="n"/>
    </row>
    <row r="112" ht="15.75" customHeight="1" s="163">
      <c r="A112" s="94" t="n"/>
      <c r="B112" s="94" t="n"/>
      <c r="C112" s="94" t="n"/>
      <c r="D112" s="94" t="n"/>
      <c r="E112" s="94" t="n"/>
      <c r="F112" s="94" t="n"/>
      <c r="G112" s="94" t="n"/>
      <c r="H112" s="94" t="n"/>
      <c r="I112" s="94" t="n"/>
      <c r="J112" s="94" t="n"/>
      <c r="K112" s="94" t="n"/>
      <c r="L112" s="94" t="n"/>
      <c r="M112" s="94" t="n"/>
      <c r="N112" s="94" t="n"/>
      <c r="O112" s="94" t="n"/>
      <c r="P112" s="94" t="n"/>
      <c r="Q112" s="94" t="n"/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  <c r="AA112" s="94" t="n"/>
      <c r="AB112" s="94" t="n"/>
      <c r="AC112" s="94" t="n"/>
      <c r="AD112" s="94" t="n"/>
      <c r="AE112" s="94" t="n"/>
      <c r="AF112" s="94" t="n"/>
      <c r="AG112" s="94" t="n"/>
      <c r="AH112" s="94" t="n"/>
      <c r="AI112" s="94" t="n"/>
      <c r="AJ112" s="94" t="n"/>
      <c r="AK112" s="94" t="n"/>
      <c r="AL112" s="94" t="n"/>
      <c r="AM112" s="94" t="n"/>
      <c r="AN112" s="94" t="n"/>
      <c r="AO112" s="94" t="n"/>
      <c r="AP112" s="94" t="n"/>
      <c r="AQ112" s="94" t="n"/>
      <c r="AR112" s="94" t="n"/>
      <c r="AS112" s="94" t="n"/>
      <c r="AT112" s="94" t="n"/>
      <c r="AU112" s="94" t="n"/>
      <c r="AV112" s="94" t="n"/>
      <c r="AW112" s="94" t="n"/>
      <c r="AX112" s="94" t="n"/>
      <c r="AY112" s="94" t="n"/>
      <c r="AZ112" s="94" t="n"/>
      <c r="BA112" s="94" t="n"/>
      <c r="BB112" s="94" t="n"/>
      <c r="BC112" s="94" t="n"/>
      <c r="BD112" s="94" t="n"/>
    </row>
    <row r="113" ht="15.75" customHeight="1" s="163">
      <c r="A113" s="94" t="n"/>
      <c r="B113" s="94" t="n"/>
      <c r="C113" s="94" t="n"/>
      <c r="D113" s="94" t="n"/>
      <c r="E113" s="94" t="n"/>
      <c r="F113" s="94" t="n"/>
      <c r="G113" s="94" t="n"/>
      <c r="H113" s="94" t="n"/>
      <c r="I113" s="94" t="n"/>
      <c r="J113" s="94" t="n"/>
      <c r="K113" s="94" t="n"/>
      <c r="L113" s="94" t="n"/>
      <c r="M113" s="94" t="n"/>
      <c r="N113" s="94" t="n"/>
      <c r="O113" s="94" t="n"/>
      <c r="P113" s="94" t="n"/>
      <c r="Q113" s="94" t="n"/>
      <c r="R113" s="94" t="n"/>
      <c r="S113" s="94" t="n"/>
      <c r="T113" s="94" t="n"/>
      <c r="U113" s="94" t="n"/>
      <c r="V113" s="94" t="n"/>
      <c r="W113" s="94" t="n"/>
      <c r="X113" s="94" t="n"/>
      <c r="Y113" s="94" t="n"/>
      <c r="Z113" s="94" t="n"/>
      <c r="AA113" s="94" t="n"/>
      <c r="AB113" s="94" t="n"/>
      <c r="AC113" s="94" t="n"/>
      <c r="AD113" s="94" t="n"/>
      <c r="AE113" s="94" t="n"/>
      <c r="AF113" s="94" t="n"/>
      <c r="AG113" s="94" t="n"/>
      <c r="AH113" s="94" t="n"/>
      <c r="AI113" s="94" t="n"/>
      <c r="AJ113" s="94" t="n"/>
      <c r="AK113" s="94" t="n"/>
      <c r="AL113" s="94" t="n"/>
      <c r="AM113" s="94" t="n"/>
      <c r="AN113" s="94" t="n"/>
      <c r="AO113" s="94" t="n"/>
      <c r="AP113" s="94" t="n"/>
      <c r="AQ113" s="94" t="n"/>
      <c r="AR113" s="94" t="n"/>
      <c r="AS113" s="94" t="n"/>
      <c r="AT113" s="94" t="n"/>
      <c r="AU113" s="94" t="n"/>
      <c r="AV113" s="94" t="n"/>
      <c r="AW113" s="94" t="n"/>
      <c r="AX113" s="94" t="n"/>
      <c r="AY113" s="94" t="n"/>
      <c r="AZ113" s="94" t="n"/>
      <c r="BA113" s="94" t="n"/>
      <c r="BB113" s="94" t="n"/>
      <c r="BC113" s="94" t="n"/>
      <c r="BD113" s="94" t="n"/>
    </row>
    <row r="114" ht="15.75" customHeight="1" s="163">
      <c r="A114" s="94" t="n"/>
      <c r="B114" s="94" t="n"/>
      <c r="C114" s="94" t="n"/>
      <c r="D114" s="94" t="n"/>
      <c r="E114" s="94" t="n"/>
      <c r="F114" s="94" t="n"/>
      <c r="G114" s="94" t="n"/>
      <c r="H114" s="94" t="n"/>
      <c r="I114" s="94" t="n"/>
      <c r="J114" s="94" t="n"/>
      <c r="K114" s="94" t="n"/>
      <c r="L114" s="94" t="n"/>
      <c r="M114" s="94" t="n"/>
      <c r="N114" s="94" t="n"/>
      <c r="O114" s="94" t="n"/>
      <c r="P114" s="94" t="n"/>
      <c r="Q114" s="94" t="n"/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  <c r="AA114" s="94" t="n"/>
      <c r="AB114" s="94" t="n"/>
      <c r="AC114" s="94" t="n"/>
      <c r="AD114" s="94" t="n"/>
      <c r="AE114" s="94" t="n"/>
      <c r="AF114" s="94" t="n"/>
      <c r="AG114" s="94" t="n"/>
      <c r="AH114" s="94" t="n"/>
      <c r="AI114" s="94" t="n"/>
      <c r="AJ114" s="94" t="n"/>
      <c r="AK114" s="94" t="n"/>
      <c r="AL114" s="94" t="n"/>
      <c r="AM114" s="94" t="n"/>
      <c r="AN114" s="94" t="n"/>
      <c r="AO114" s="94" t="n"/>
      <c r="AP114" s="94" t="n"/>
      <c r="AQ114" s="94" t="n"/>
      <c r="AR114" s="94" t="n"/>
      <c r="AS114" s="94" t="n"/>
      <c r="AT114" s="94" t="n"/>
      <c r="AU114" s="94" t="n"/>
      <c r="AV114" s="94" t="n"/>
      <c r="AW114" s="94" t="n"/>
      <c r="AX114" s="94" t="n"/>
      <c r="AY114" s="94" t="n"/>
      <c r="AZ114" s="94" t="n"/>
      <c r="BA114" s="94" t="n"/>
      <c r="BB114" s="94" t="n"/>
      <c r="BC114" s="94" t="n"/>
      <c r="BD114" s="94" t="n"/>
    </row>
    <row r="115" ht="15.75" customHeight="1" s="163">
      <c r="A115" s="94" t="n"/>
      <c r="B115" s="94" t="n"/>
      <c r="C115" s="94" t="n"/>
      <c r="D115" s="94" t="n"/>
      <c r="E115" s="94" t="n"/>
      <c r="F115" s="94" t="n"/>
      <c r="G115" s="94" t="n"/>
      <c r="H115" s="94" t="n"/>
      <c r="I115" s="94" t="n"/>
      <c r="J115" s="94" t="n"/>
      <c r="K115" s="94" t="n"/>
      <c r="L115" s="94" t="n"/>
      <c r="M115" s="94" t="n"/>
      <c r="N115" s="94" t="n"/>
      <c r="O115" s="94" t="n"/>
      <c r="P115" s="94" t="n"/>
      <c r="Q115" s="94" t="n"/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  <c r="AA115" s="94" t="n"/>
      <c r="AB115" s="94" t="n"/>
      <c r="AC115" s="94" t="n"/>
      <c r="AD115" s="94" t="n"/>
      <c r="AE115" s="94" t="n"/>
      <c r="AF115" s="94" t="n"/>
      <c r="AG115" s="94" t="n"/>
      <c r="AH115" s="94" t="n"/>
      <c r="AI115" s="94" t="n"/>
      <c r="AJ115" s="94" t="n"/>
      <c r="AK115" s="94" t="n"/>
      <c r="AL115" s="94" t="n"/>
      <c r="AM115" s="94" t="n"/>
      <c r="AN115" s="94" t="n"/>
      <c r="AO115" s="94" t="n"/>
      <c r="AP115" s="94" t="n"/>
      <c r="AQ115" s="94" t="n"/>
      <c r="AR115" s="94" t="n"/>
      <c r="AS115" s="94" t="n"/>
      <c r="AT115" s="94" t="n"/>
      <c r="AU115" s="94" t="n"/>
      <c r="AV115" s="94" t="n"/>
      <c r="AW115" s="94" t="n"/>
      <c r="AX115" s="94" t="n"/>
      <c r="AY115" s="94" t="n"/>
      <c r="AZ115" s="94" t="n"/>
      <c r="BA115" s="94" t="n"/>
      <c r="BB115" s="94" t="n"/>
      <c r="BC115" s="94" t="n"/>
      <c r="BD115" s="94" t="n"/>
    </row>
    <row r="116" ht="15.75" customHeight="1" s="163">
      <c r="A116" s="94" t="n"/>
      <c r="B116" s="94" t="n"/>
      <c r="C116" s="94" t="n"/>
      <c r="D116" s="94" t="n"/>
      <c r="E116" s="94" t="n"/>
      <c r="F116" s="94" t="n"/>
      <c r="G116" s="94" t="n"/>
      <c r="H116" s="94" t="n"/>
      <c r="I116" s="94" t="n"/>
      <c r="J116" s="94" t="n"/>
      <c r="K116" s="94" t="n"/>
      <c r="L116" s="94" t="n"/>
      <c r="M116" s="94" t="n"/>
      <c r="N116" s="94" t="n"/>
      <c r="O116" s="94" t="n"/>
      <c r="P116" s="94" t="n"/>
      <c r="Q116" s="94" t="n"/>
      <c r="R116" s="94" t="n"/>
      <c r="S116" s="94" t="n"/>
      <c r="T116" s="94" t="n"/>
      <c r="U116" s="94" t="n"/>
      <c r="V116" s="94" t="n"/>
      <c r="W116" s="94" t="n"/>
      <c r="X116" s="94" t="n"/>
      <c r="Y116" s="94" t="n"/>
      <c r="Z116" s="94" t="n"/>
      <c r="AA116" s="94" t="n"/>
      <c r="AB116" s="94" t="n"/>
      <c r="AC116" s="94" t="n"/>
      <c r="AD116" s="94" t="n"/>
      <c r="AE116" s="94" t="n"/>
      <c r="AF116" s="94" t="n"/>
      <c r="AG116" s="94" t="n"/>
      <c r="AH116" s="94" t="n"/>
      <c r="AI116" s="94" t="n"/>
      <c r="AJ116" s="94" t="n"/>
      <c r="AK116" s="94" t="n"/>
      <c r="AL116" s="94" t="n"/>
      <c r="AM116" s="94" t="n"/>
      <c r="AN116" s="94" t="n"/>
      <c r="AO116" s="94" t="n"/>
      <c r="AP116" s="94" t="n"/>
      <c r="AQ116" s="94" t="n"/>
      <c r="AR116" s="94" t="n"/>
      <c r="AS116" s="94" t="n"/>
      <c r="AT116" s="94" t="n"/>
      <c r="AU116" s="94" t="n"/>
      <c r="AV116" s="94" t="n"/>
      <c r="AW116" s="94" t="n"/>
      <c r="AX116" s="94" t="n"/>
      <c r="AY116" s="94" t="n"/>
      <c r="AZ116" s="94" t="n"/>
      <c r="BA116" s="94" t="n"/>
      <c r="BB116" s="94" t="n"/>
      <c r="BC116" s="94" t="n"/>
      <c r="BD116" s="94" t="n"/>
    </row>
    <row r="117" ht="15.75" customHeight="1" s="163">
      <c r="A117" s="94" t="n"/>
      <c r="B117" s="94" t="n"/>
      <c r="C117" s="94" t="n"/>
      <c r="D117" s="94" t="n"/>
      <c r="E117" s="94" t="n"/>
      <c r="F117" s="94" t="n"/>
      <c r="G117" s="94" t="n"/>
      <c r="H117" s="94" t="n"/>
      <c r="I117" s="94" t="n"/>
      <c r="J117" s="94" t="n"/>
      <c r="K117" s="94" t="n"/>
      <c r="L117" s="94" t="n"/>
      <c r="M117" s="94" t="n"/>
      <c r="N117" s="94" t="n"/>
      <c r="O117" s="94" t="n"/>
      <c r="P117" s="94" t="n"/>
      <c r="Q117" s="94" t="n"/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  <c r="AA117" s="94" t="n"/>
      <c r="AB117" s="94" t="n"/>
      <c r="AC117" s="94" t="n"/>
      <c r="AD117" s="94" t="n"/>
      <c r="AE117" s="94" t="n"/>
      <c r="AF117" s="94" t="n"/>
      <c r="AG117" s="94" t="n"/>
      <c r="AH117" s="94" t="n"/>
      <c r="AI117" s="94" t="n"/>
      <c r="AJ117" s="94" t="n"/>
      <c r="AK117" s="94" t="n"/>
      <c r="AL117" s="94" t="n"/>
      <c r="AM117" s="94" t="n"/>
      <c r="AN117" s="94" t="n"/>
      <c r="AO117" s="94" t="n"/>
      <c r="AP117" s="94" t="n"/>
      <c r="AQ117" s="94" t="n"/>
      <c r="AR117" s="94" t="n"/>
      <c r="AS117" s="94" t="n"/>
      <c r="AT117" s="94" t="n"/>
      <c r="AU117" s="94" t="n"/>
      <c r="AV117" s="94" t="n"/>
      <c r="AW117" s="94" t="n"/>
      <c r="AX117" s="94" t="n"/>
      <c r="AY117" s="94" t="n"/>
      <c r="AZ117" s="94" t="n"/>
      <c r="BA117" s="94" t="n"/>
      <c r="BB117" s="94" t="n"/>
      <c r="BC117" s="94" t="n"/>
      <c r="BD117" s="94" t="n"/>
    </row>
    <row r="118" ht="15.75" customHeight="1" s="163">
      <c r="A118" s="94" t="n"/>
      <c r="B118" s="94" t="n"/>
      <c r="C118" s="94" t="n"/>
      <c r="D118" s="94" t="n"/>
      <c r="E118" s="94" t="n"/>
      <c r="F118" s="94" t="n"/>
      <c r="G118" s="94" t="n"/>
      <c r="H118" s="94" t="n"/>
      <c r="I118" s="94" t="n"/>
      <c r="J118" s="94" t="n"/>
      <c r="K118" s="94" t="n"/>
      <c r="L118" s="94" t="n"/>
      <c r="M118" s="94" t="n"/>
      <c r="N118" s="94" t="n"/>
      <c r="O118" s="94" t="n"/>
      <c r="P118" s="94" t="n"/>
      <c r="Q118" s="94" t="n"/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  <c r="AA118" s="94" t="n"/>
      <c r="AB118" s="94" t="n"/>
      <c r="AC118" s="94" t="n"/>
      <c r="AD118" s="94" t="n"/>
      <c r="AE118" s="94" t="n"/>
      <c r="AF118" s="94" t="n"/>
      <c r="AG118" s="94" t="n"/>
      <c r="AH118" s="94" t="n"/>
      <c r="AI118" s="94" t="n"/>
      <c r="AJ118" s="94" t="n"/>
      <c r="AK118" s="94" t="n"/>
      <c r="AL118" s="94" t="n"/>
      <c r="AM118" s="94" t="n"/>
      <c r="AN118" s="94" t="n"/>
      <c r="AO118" s="94" t="n"/>
      <c r="AP118" s="94" t="n"/>
      <c r="AQ118" s="94" t="n"/>
      <c r="AR118" s="94" t="n"/>
      <c r="AS118" s="94" t="n"/>
      <c r="AT118" s="94" t="n"/>
      <c r="AU118" s="94" t="n"/>
      <c r="AV118" s="94" t="n"/>
      <c r="AW118" s="94" t="n"/>
      <c r="AX118" s="94" t="n"/>
      <c r="AY118" s="94" t="n"/>
      <c r="AZ118" s="94" t="n"/>
      <c r="BA118" s="94" t="n"/>
      <c r="BB118" s="94" t="n"/>
      <c r="BC118" s="94" t="n"/>
      <c r="BD118" s="94" t="n"/>
    </row>
    <row r="119" ht="15.75" customHeight="1" s="163">
      <c r="A119" s="94" t="n"/>
      <c r="B119" s="94" t="n"/>
      <c r="C119" s="94" t="n"/>
      <c r="D119" s="94" t="n"/>
      <c r="E119" s="94" t="n"/>
      <c r="F119" s="94" t="n"/>
      <c r="G119" s="94" t="n"/>
      <c r="H119" s="94" t="n"/>
      <c r="I119" s="94" t="n"/>
      <c r="J119" s="94" t="n"/>
      <c r="K119" s="94" t="n"/>
      <c r="L119" s="94" t="n"/>
      <c r="M119" s="94" t="n"/>
      <c r="N119" s="94" t="n"/>
      <c r="O119" s="94" t="n"/>
      <c r="P119" s="94" t="n"/>
      <c r="Q119" s="94" t="n"/>
      <c r="R119" s="94" t="n"/>
      <c r="S119" s="94" t="n"/>
      <c r="T119" s="94" t="n"/>
      <c r="U119" s="94" t="n"/>
      <c r="V119" s="94" t="n"/>
      <c r="W119" s="94" t="n"/>
      <c r="X119" s="94" t="n"/>
      <c r="Y119" s="94" t="n"/>
      <c r="Z119" s="94" t="n"/>
      <c r="AA119" s="94" t="n"/>
      <c r="AB119" s="94" t="n"/>
      <c r="AC119" s="94" t="n"/>
      <c r="AD119" s="94" t="n"/>
      <c r="AE119" s="94" t="n"/>
      <c r="AF119" s="94" t="n"/>
      <c r="AG119" s="94" t="n"/>
      <c r="AH119" s="94" t="n"/>
      <c r="AI119" s="94" t="n"/>
      <c r="AJ119" s="94" t="n"/>
      <c r="AK119" s="94" t="n"/>
      <c r="AL119" s="94" t="n"/>
      <c r="AM119" s="94" t="n"/>
      <c r="AN119" s="94" t="n"/>
      <c r="AO119" s="94" t="n"/>
      <c r="AP119" s="94" t="n"/>
      <c r="AQ119" s="94" t="n"/>
      <c r="AR119" s="94" t="n"/>
      <c r="AS119" s="94" t="n"/>
      <c r="AT119" s="94" t="n"/>
      <c r="AU119" s="94" t="n"/>
      <c r="AV119" s="94" t="n"/>
      <c r="AW119" s="94" t="n"/>
      <c r="AX119" s="94" t="n"/>
      <c r="AY119" s="94" t="n"/>
      <c r="AZ119" s="94" t="n"/>
      <c r="BA119" s="94" t="n"/>
      <c r="BB119" s="94" t="n"/>
      <c r="BC119" s="94" t="n"/>
      <c r="BD119" s="94" t="n"/>
    </row>
    <row r="120" ht="15.75" customHeight="1" s="163">
      <c r="A120" s="94" t="n"/>
      <c r="B120" s="94" t="n"/>
      <c r="C120" s="94" t="n"/>
      <c r="D120" s="94" t="n"/>
      <c r="E120" s="94" t="n"/>
      <c r="F120" s="94" t="n"/>
      <c r="G120" s="94" t="n"/>
      <c r="H120" s="94" t="n"/>
      <c r="I120" s="94" t="n"/>
      <c r="J120" s="94" t="n"/>
      <c r="K120" s="94" t="n"/>
      <c r="L120" s="94" t="n"/>
      <c r="M120" s="94" t="n"/>
      <c r="N120" s="94" t="n"/>
      <c r="O120" s="94" t="n"/>
      <c r="P120" s="94" t="n"/>
      <c r="Q120" s="94" t="n"/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  <c r="AA120" s="94" t="n"/>
      <c r="AB120" s="94" t="n"/>
      <c r="AC120" s="94" t="n"/>
      <c r="AD120" s="94" t="n"/>
      <c r="AE120" s="94" t="n"/>
      <c r="AF120" s="94" t="n"/>
      <c r="AG120" s="94" t="n"/>
      <c r="AH120" s="94" t="n"/>
      <c r="AI120" s="94" t="n"/>
      <c r="AJ120" s="94" t="n"/>
      <c r="AK120" s="94" t="n"/>
      <c r="AL120" s="94" t="n"/>
      <c r="AM120" s="94" t="n"/>
      <c r="AN120" s="94" t="n"/>
      <c r="AO120" s="94" t="n"/>
      <c r="AP120" s="94" t="n"/>
      <c r="AQ120" s="94" t="n"/>
      <c r="AR120" s="94" t="n"/>
      <c r="AS120" s="94" t="n"/>
      <c r="AT120" s="94" t="n"/>
      <c r="AU120" s="94" t="n"/>
      <c r="AV120" s="94" t="n"/>
      <c r="AW120" s="94" t="n"/>
      <c r="AX120" s="94" t="n"/>
      <c r="AY120" s="94" t="n"/>
      <c r="AZ120" s="94" t="n"/>
      <c r="BA120" s="94" t="n"/>
      <c r="BB120" s="94" t="n"/>
      <c r="BC120" s="94" t="n"/>
      <c r="BD120" s="94" t="n"/>
    </row>
    <row r="121" ht="15.75" customHeight="1" s="163">
      <c r="A121" s="94" t="n"/>
      <c r="B121" s="94" t="n"/>
      <c r="C121" s="94" t="n"/>
      <c r="D121" s="94" t="n"/>
      <c r="E121" s="94" t="n"/>
      <c r="F121" s="94" t="n"/>
      <c r="G121" s="94" t="n"/>
      <c r="H121" s="94" t="n"/>
      <c r="I121" s="94" t="n"/>
      <c r="J121" s="94" t="n"/>
      <c r="K121" s="94" t="n"/>
      <c r="L121" s="94" t="n"/>
      <c r="M121" s="94" t="n"/>
      <c r="N121" s="94" t="n"/>
      <c r="O121" s="94" t="n"/>
      <c r="P121" s="94" t="n"/>
      <c r="Q121" s="94" t="n"/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  <c r="AA121" s="94" t="n"/>
      <c r="AB121" s="94" t="n"/>
      <c r="AC121" s="94" t="n"/>
      <c r="AD121" s="94" t="n"/>
      <c r="AE121" s="94" t="n"/>
      <c r="AF121" s="94" t="n"/>
      <c r="AG121" s="94" t="n"/>
      <c r="AH121" s="94" t="n"/>
      <c r="AI121" s="94" t="n"/>
      <c r="AJ121" s="94" t="n"/>
      <c r="AK121" s="94" t="n"/>
      <c r="AL121" s="94" t="n"/>
      <c r="AM121" s="94" t="n"/>
      <c r="AN121" s="94" t="n"/>
      <c r="AO121" s="94" t="n"/>
      <c r="AP121" s="94" t="n"/>
      <c r="AQ121" s="94" t="n"/>
      <c r="AR121" s="94" t="n"/>
      <c r="AS121" s="94" t="n"/>
      <c r="AT121" s="94" t="n"/>
      <c r="AU121" s="94" t="n"/>
      <c r="AV121" s="94" t="n"/>
      <c r="AW121" s="94" t="n"/>
      <c r="AX121" s="94" t="n"/>
      <c r="AY121" s="94" t="n"/>
      <c r="AZ121" s="94" t="n"/>
      <c r="BA121" s="94" t="n"/>
      <c r="BB121" s="94" t="n"/>
      <c r="BC121" s="94" t="n"/>
      <c r="BD121" s="94" t="n"/>
    </row>
    <row r="122" ht="15.75" customHeight="1" s="163">
      <c r="A122" s="94" t="n"/>
      <c r="B122" s="94" t="n"/>
      <c r="C122" s="94" t="n"/>
      <c r="D122" s="94" t="n"/>
      <c r="E122" s="94" t="n"/>
      <c r="F122" s="94" t="n"/>
      <c r="G122" s="94" t="n"/>
      <c r="H122" s="94" t="n"/>
      <c r="I122" s="94" t="n"/>
      <c r="J122" s="94" t="n"/>
      <c r="K122" s="94" t="n"/>
      <c r="L122" s="94" t="n"/>
      <c r="M122" s="94" t="n"/>
      <c r="N122" s="94" t="n"/>
      <c r="O122" s="94" t="n"/>
      <c r="P122" s="94" t="n"/>
      <c r="Q122" s="94" t="n"/>
      <c r="R122" s="94" t="n"/>
      <c r="S122" s="94" t="n"/>
      <c r="T122" s="94" t="n"/>
      <c r="U122" s="94" t="n"/>
      <c r="V122" s="94" t="n"/>
      <c r="W122" s="94" t="n"/>
      <c r="X122" s="94" t="n"/>
      <c r="Y122" s="94" t="n"/>
      <c r="Z122" s="94" t="n"/>
      <c r="AA122" s="94" t="n"/>
      <c r="AB122" s="94" t="n"/>
      <c r="AC122" s="94" t="n"/>
      <c r="AD122" s="94" t="n"/>
      <c r="AE122" s="94" t="n"/>
      <c r="AF122" s="94" t="n"/>
      <c r="AG122" s="94" t="n"/>
      <c r="AH122" s="94" t="n"/>
      <c r="AI122" s="94" t="n"/>
      <c r="AJ122" s="94" t="n"/>
      <c r="AK122" s="94" t="n"/>
      <c r="AL122" s="94" t="n"/>
      <c r="AM122" s="94" t="n"/>
      <c r="AN122" s="94" t="n"/>
      <c r="AO122" s="94" t="n"/>
      <c r="AP122" s="94" t="n"/>
      <c r="AQ122" s="94" t="n"/>
      <c r="AR122" s="94" t="n"/>
      <c r="AS122" s="94" t="n"/>
      <c r="AT122" s="94" t="n"/>
      <c r="AU122" s="94" t="n"/>
      <c r="AV122" s="94" t="n"/>
      <c r="AW122" s="94" t="n"/>
      <c r="AX122" s="94" t="n"/>
      <c r="AY122" s="94" t="n"/>
      <c r="AZ122" s="94" t="n"/>
      <c r="BA122" s="94" t="n"/>
      <c r="BB122" s="94" t="n"/>
      <c r="BC122" s="94" t="n"/>
      <c r="BD122" s="94" t="n"/>
    </row>
    <row r="123" ht="15.75" customHeight="1" s="163">
      <c r="A123" s="94" t="n"/>
      <c r="B123" s="94" t="n"/>
      <c r="C123" s="94" t="n"/>
      <c r="D123" s="94" t="n"/>
      <c r="E123" s="94" t="n"/>
      <c r="F123" s="94" t="n"/>
      <c r="G123" s="94" t="n"/>
      <c r="H123" s="94" t="n"/>
      <c r="I123" s="94" t="n"/>
      <c r="J123" s="94" t="n"/>
      <c r="K123" s="94" t="n"/>
      <c r="L123" s="94" t="n"/>
      <c r="M123" s="94" t="n"/>
      <c r="N123" s="94" t="n"/>
      <c r="O123" s="94" t="n"/>
      <c r="P123" s="94" t="n"/>
      <c r="Q123" s="94" t="n"/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  <c r="AA123" s="94" t="n"/>
      <c r="AB123" s="94" t="n"/>
      <c r="AC123" s="94" t="n"/>
      <c r="AD123" s="94" t="n"/>
      <c r="AE123" s="94" t="n"/>
      <c r="AF123" s="94" t="n"/>
      <c r="AG123" s="94" t="n"/>
      <c r="AH123" s="94" t="n"/>
      <c r="AI123" s="94" t="n"/>
      <c r="AJ123" s="94" t="n"/>
      <c r="AK123" s="94" t="n"/>
      <c r="AL123" s="94" t="n"/>
      <c r="AM123" s="94" t="n"/>
      <c r="AN123" s="94" t="n"/>
      <c r="AO123" s="94" t="n"/>
      <c r="AP123" s="94" t="n"/>
      <c r="AQ123" s="94" t="n"/>
      <c r="AR123" s="94" t="n"/>
      <c r="AS123" s="94" t="n"/>
      <c r="AT123" s="94" t="n"/>
      <c r="AU123" s="94" t="n"/>
      <c r="AV123" s="94" t="n"/>
      <c r="AW123" s="94" t="n"/>
      <c r="AX123" s="94" t="n"/>
      <c r="AY123" s="94" t="n"/>
      <c r="AZ123" s="94" t="n"/>
      <c r="BA123" s="94" t="n"/>
      <c r="BB123" s="94" t="n"/>
      <c r="BC123" s="94" t="n"/>
      <c r="BD123" s="94" t="n"/>
    </row>
    <row r="124" ht="15.75" customHeight="1" s="163">
      <c r="A124" s="94" t="n"/>
      <c r="B124" s="94" t="n"/>
      <c r="C124" s="94" t="n"/>
      <c r="D124" s="94" t="n"/>
      <c r="E124" s="94" t="n"/>
      <c r="F124" s="94" t="n"/>
      <c r="G124" s="94" t="n"/>
      <c r="H124" s="94" t="n"/>
      <c r="I124" s="94" t="n"/>
      <c r="J124" s="94" t="n"/>
      <c r="K124" s="94" t="n"/>
      <c r="L124" s="94" t="n"/>
      <c r="M124" s="94" t="n"/>
      <c r="N124" s="94" t="n"/>
      <c r="O124" s="94" t="n"/>
      <c r="P124" s="94" t="n"/>
      <c r="Q124" s="94" t="n"/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  <c r="AA124" s="94" t="n"/>
      <c r="AB124" s="94" t="n"/>
      <c r="AC124" s="94" t="n"/>
      <c r="AD124" s="94" t="n"/>
      <c r="AE124" s="94" t="n"/>
      <c r="AF124" s="94" t="n"/>
      <c r="AG124" s="94" t="n"/>
      <c r="AH124" s="94" t="n"/>
      <c r="AI124" s="94" t="n"/>
      <c r="AJ124" s="94" t="n"/>
      <c r="AK124" s="94" t="n"/>
      <c r="AL124" s="94" t="n"/>
      <c r="AM124" s="94" t="n"/>
      <c r="AN124" s="94" t="n"/>
      <c r="AO124" s="94" t="n"/>
      <c r="AP124" s="94" t="n"/>
      <c r="AQ124" s="94" t="n"/>
      <c r="AR124" s="94" t="n"/>
      <c r="AS124" s="94" t="n"/>
      <c r="AT124" s="94" t="n"/>
      <c r="AU124" s="94" t="n"/>
      <c r="AV124" s="94" t="n"/>
      <c r="AW124" s="94" t="n"/>
      <c r="AX124" s="94" t="n"/>
      <c r="AY124" s="94" t="n"/>
      <c r="AZ124" s="94" t="n"/>
      <c r="BA124" s="94" t="n"/>
      <c r="BB124" s="94" t="n"/>
      <c r="BC124" s="94" t="n"/>
      <c r="BD124" s="94" t="n"/>
    </row>
    <row r="125" ht="15.75" customHeight="1" s="163">
      <c r="A125" s="94" t="n"/>
      <c r="B125" s="94" t="n"/>
      <c r="C125" s="94" t="n"/>
      <c r="D125" s="94" t="n"/>
      <c r="E125" s="94" t="n"/>
      <c r="F125" s="94" t="n"/>
      <c r="G125" s="94" t="n"/>
      <c r="H125" s="94" t="n"/>
      <c r="I125" s="94" t="n"/>
      <c r="J125" s="94" t="n"/>
      <c r="K125" s="94" t="n"/>
      <c r="L125" s="94" t="n"/>
      <c r="M125" s="94" t="n"/>
      <c r="N125" s="94" t="n"/>
      <c r="O125" s="94" t="n"/>
      <c r="P125" s="94" t="n"/>
      <c r="Q125" s="94" t="n"/>
      <c r="R125" s="94" t="n"/>
      <c r="S125" s="94" t="n"/>
      <c r="T125" s="94" t="n"/>
      <c r="U125" s="94" t="n"/>
      <c r="V125" s="94" t="n"/>
      <c r="W125" s="94" t="n"/>
      <c r="X125" s="94" t="n"/>
      <c r="Y125" s="94" t="n"/>
      <c r="Z125" s="94" t="n"/>
      <c r="AA125" s="94" t="n"/>
      <c r="AB125" s="94" t="n"/>
      <c r="AC125" s="94" t="n"/>
      <c r="AD125" s="94" t="n"/>
      <c r="AE125" s="94" t="n"/>
      <c r="AF125" s="94" t="n"/>
      <c r="AG125" s="94" t="n"/>
      <c r="AH125" s="94" t="n"/>
      <c r="AI125" s="94" t="n"/>
      <c r="AJ125" s="94" t="n"/>
      <c r="AK125" s="94" t="n"/>
      <c r="AL125" s="94" t="n"/>
      <c r="AM125" s="94" t="n"/>
      <c r="AN125" s="94" t="n"/>
      <c r="AO125" s="94" t="n"/>
      <c r="AP125" s="94" t="n"/>
      <c r="AQ125" s="94" t="n"/>
      <c r="AR125" s="94" t="n"/>
      <c r="AS125" s="94" t="n"/>
      <c r="AT125" s="94" t="n"/>
      <c r="AU125" s="94" t="n"/>
      <c r="AV125" s="94" t="n"/>
      <c r="AW125" s="94" t="n"/>
      <c r="AX125" s="94" t="n"/>
      <c r="AY125" s="94" t="n"/>
      <c r="AZ125" s="94" t="n"/>
      <c r="BA125" s="94" t="n"/>
      <c r="BB125" s="94" t="n"/>
      <c r="BC125" s="94" t="n"/>
      <c r="BD125" s="94" t="n"/>
    </row>
    <row r="126" ht="15.75" customHeight="1" s="163">
      <c r="A126" s="94" t="n"/>
      <c r="B126" s="94" t="n"/>
      <c r="C126" s="94" t="n"/>
      <c r="D126" s="94" t="n"/>
      <c r="E126" s="94" t="n"/>
      <c r="F126" s="94" t="n"/>
      <c r="G126" s="94" t="n"/>
      <c r="H126" s="94" t="n"/>
      <c r="I126" s="94" t="n"/>
      <c r="J126" s="94" t="n"/>
      <c r="K126" s="94" t="n"/>
      <c r="L126" s="94" t="n"/>
      <c r="M126" s="94" t="n"/>
      <c r="N126" s="94" t="n"/>
      <c r="O126" s="94" t="n"/>
      <c r="P126" s="94" t="n"/>
      <c r="Q126" s="94" t="n"/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  <c r="AA126" s="94" t="n"/>
      <c r="AB126" s="94" t="n"/>
      <c r="AC126" s="94" t="n"/>
      <c r="AD126" s="94" t="n"/>
      <c r="AE126" s="94" t="n"/>
      <c r="AF126" s="94" t="n"/>
      <c r="AG126" s="94" t="n"/>
      <c r="AH126" s="94" t="n"/>
      <c r="AI126" s="94" t="n"/>
      <c r="AJ126" s="94" t="n"/>
      <c r="AK126" s="94" t="n"/>
      <c r="AL126" s="94" t="n"/>
      <c r="AM126" s="94" t="n"/>
      <c r="AN126" s="94" t="n"/>
      <c r="AO126" s="94" t="n"/>
      <c r="AP126" s="94" t="n"/>
      <c r="AQ126" s="94" t="n"/>
      <c r="AR126" s="94" t="n"/>
      <c r="AS126" s="94" t="n"/>
      <c r="AT126" s="94" t="n"/>
      <c r="AU126" s="94" t="n"/>
      <c r="AV126" s="94" t="n"/>
      <c r="AW126" s="94" t="n"/>
      <c r="AX126" s="94" t="n"/>
      <c r="AY126" s="94" t="n"/>
      <c r="AZ126" s="94" t="n"/>
      <c r="BA126" s="94" t="n"/>
      <c r="BB126" s="94" t="n"/>
      <c r="BC126" s="94" t="n"/>
      <c r="BD126" s="94" t="n"/>
    </row>
    <row r="127" ht="15.75" customHeight="1" s="163">
      <c r="A127" s="94" t="n"/>
      <c r="B127" s="94" t="n"/>
      <c r="C127" s="94" t="n"/>
      <c r="D127" s="94" t="n"/>
      <c r="E127" s="94" t="n"/>
      <c r="F127" s="94" t="n"/>
      <c r="G127" s="94" t="n"/>
      <c r="H127" s="94" t="n"/>
      <c r="I127" s="94" t="n"/>
      <c r="J127" s="94" t="n"/>
      <c r="K127" s="94" t="n"/>
      <c r="L127" s="94" t="n"/>
      <c r="M127" s="94" t="n"/>
      <c r="N127" s="94" t="n"/>
      <c r="O127" s="94" t="n"/>
      <c r="P127" s="94" t="n"/>
      <c r="Q127" s="94" t="n"/>
      <c r="R127" s="94" t="n"/>
      <c r="S127" s="94" t="n"/>
      <c r="T127" s="94" t="n"/>
      <c r="U127" s="94" t="n"/>
      <c r="V127" s="94" t="n"/>
      <c r="W127" s="94" t="n"/>
      <c r="X127" s="94" t="n"/>
      <c r="Y127" s="94" t="n"/>
      <c r="Z127" s="94" t="n"/>
      <c r="AA127" s="94" t="n"/>
      <c r="AB127" s="94" t="n"/>
      <c r="AC127" s="94" t="n"/>
      <c r="AD127" s="94" t="n"/>
      <c r="AE127" s="94" t="n"/>
      <c r="AF127" s="94" t="n"/>
      <c r="AG127" s="94" t="n"/>
      <c r="AH127" s="94" t="n"/>
      <c r="AI127" s="94" t="n"/>
      <c r="AJ127" s="94" t="n"/>
      <c r="AK127" s="94" t="n"/>
      <c r="AL127" s="94" t="n"/>
      <c r="AM127" s="94" t="n"/>
      <c r="AN127" s="94" t="n"/>
      <c r="AO127" s="94" t="n"/>
      <c r="AP127" s="94" t="n"/>
      <c r="AQ127" s="94" t="n"/>
      <c r="AR127" s="94" t="n"/>
      <c r="AS127" s="94" t="n"/>
      <c r="AT127" s="94" t="n"/>
      <c r="AU127" s="94" t="n"/>
      <c r="AV127" s="94" t="n"/>
      <c r="AW127" s="94" t="n"/>
      <c r="AX127" s="94" t="n"/>
      <c r="AY127" s="94" t="n"/>
      <c r="AZ127" s="94" t="n"/>
      <c r="BA127" s="94" t="n"/>
      <c r="BB127" s="94" t="n"/>
      <c r="BC127" s="94" t="n"/>
      <c r="BD127" s="94" t="n"/>
    </row>
    <row r="128" ht="15.75" customHeight="1" s="163">
      <c r="A128" s="94" t="n"/>
      <c r="B128" s="94" t="n"/>
      <c r="C128" s="94" t="n"/>
      <c r="D128" s="94" t="n"/>
      <c r="E128" s="94" t="n"/>
      <c r="F128" s="94" t="n"/>
      <c r="G128" s="94" t="n"/>
      <c r="H128" s="94" t="n"/>
      <c r="I128" s="94" t="n"/>
      <c r="J128" s="94" t="n"/>
      <c r="K128" s="94" t="n"/>
      <c r="L128" s="94" t="n"/>
      <c r="M128" s="94" t="n"/>
      <c r="N128" s="94" t="n"/>
      <c r="O128" s="94" t="n"/>
      <c r="P128" s="94" t="n"/>
      <c r="Q128" s="94" t="n"/>
      <c r="R128" s="94" t="n"/>
      <c r="S128" s="94" t="n"/>
      <c r="T128" s="94" t="n"/>
      <c r="U128" s="94" t="n"/>
      <c r="V128" s="94" t="n"/>
      <c r="W128" s="94" t="n"/>
      <c r="X128" s="94" t="n"/>
      <c r="Y128" s="94" t="n"/>
      <c r="Z128" s="94" t="n"/>
      <c r="AA128" s="94" t="n"/>
      <c r="AB128" s="94" t="n"/>
      <c r="AC128" s="94" t="n"/>
      <c r="AD128" s="94" t="n"/>
      <c r="AE128" s="94" t="n"/>
      <c r="AF128" s="94" t="n"/>
      <c r="AG128" s="94" t="n"/>
      <c r="AH128" s="94" t="n"/>
      <c r="AI128" s="94" t="n"/>
      <c r="AJ128" s="94" t="n"/>
      <c r="AK128" s="94" t="n"/>
      <c r="AL128" s="94" t="n"/>
      <c r="AM128" s="94" t="n"/>
      <c r="AN128" s="94" t="n"/>
      <c r="AO128" s="94" t="n"/>
      <c r="AP128" s="94" t="n"/>
      <c r="AQ128" s="94" t="n"/>
      <c r="AR128" s="94" t="n"/>
      <c r="AS128" s="94" t="n"/>
      <c r="AT128" s="94" t="n"/>
      <c r="AU128" s="94" t="n"/>
      <c r="AV128" s="94" t="n"/>
      <c r="AW128" s="94" t="n"/>
      <c r="AX128" s="94" t="n"/>
      <c r="AY128" s="94" t="n"/>
      <c r="AZ128" s="94" t="n"/>
      <c r="BA128" s="94" t="n"/>
      <c r="BB128" s="94" t="n"/>
      <c r="BC128" s="94" t="n"/>
      <c r="BD128" s="94" t="n"/>
    </row>
    <row r="129" ht="15.75" customHeight="1" s="163">
      <c r="A129" s="94" t="n"/>
      <c r="B129" s="94" t="n"/>
      <c r="C129" s="94" t="n"/>
      <c r="D129" s="94" t="n"/>
      <c r="E129" s="94" t="n"/>
      <c r="F129" s="94" t="n"/>
      <c r="G129" s="94" t="n"/>
      <c r="H129" s="94" t="n"/>
      <c r="I129" s="94" t="n"/>
      <c r="J129" s="94" t="n"/>
      <c r="K129" s="94" t="n"/>
      <c r="L129" s="94" t="n"/>
      <c r="M129" s="94" t="n"/>
      <c r="N129" s="94" t="n"/>
      <c r="O129" s="94" t="n"/>
      <c r="P129" s="94" t="n"/>
      <c r="Q129" s="94" t="n"/>
      <c r="R129" s="94" t="n"/>
      <c r="S129" s="94" t="n"/>
      <c r="T129" s="94" t="n"/>
      <c r="U129" s="94" t="n"/>
      <c r="V129" s="94" t="n"/>
      <c r="W129" s="94" t="n"/>
      <c r="X129" s="94" t="n"/>
      <c r="Y129" s="94" t="n"/>
      <c r="Z129" s="94" t="n"/>
      <c r="AA129" s="94" t="n"/>
      <c r="AB129" s="94" t="n"/>
      <c r="AC129" s="94" t="n"/>
      <c r="AD129" s="94" t="n"/>
      <c r="AE129" s="94" t="n"/>
      <c r="AF129" s="94" t="n"/>
      <c r="AG129" s="94" t="n"/>
      <c r="AH129" s="94" t="n"/>
      <c r="AI129" s="94" t="n"/>
      <c r="AJ129" s="94" t="n"/>
      <c r="AK129" s="94" t="n"/>
      <c r="AL129" s="94" t="n"/>
      <c r="AM129" s="94" t="n"/>
      <c r="AN129" s="94" t="n"/>
      <c r="AO129" s="94" t="n"/>
      <c r="AP129" s="94" t="n"/>
      <c r="AQ129" s="94" t="n"/>
      <c r="AR129" s="94" t="n"/>
      <c r="AS129" s="94" t="n"/>
      <c r="AT129" s="94" t="n"/>
      <c r="AU129" s="94" t="n"/>
      <c r="AV129" s="94" t="n"/>
      <c r="AW129" s="94" t="n"/>
      <c r="AX129" s="94" t="n"/>
      <c r="AY129" s="94" t="n"/>
      <c r="AZ129" s="94" t="n"/>
      <c r="BA129" s="94" t="n"/>
      <c r="BB129" s="94" t="n"/>
      <c r="BC129" s="94" t="n"/>
      <c r="BD129" s="94" t="n"/>
    </row>
    <row r="130" ht="15.75" customHeight="1" s="163">
      <c r="A130" s="94" t="n"/>
      <c r="B130" s="94" t="n"/>
      <c r="C130" s="94" t="n"/>
      <c r="D130" s="94" t="n"/>
      <c r="E130" s="94" t="n"/>
      <c r="F130" s="94" t="n"/>
      <c r="G130" s="94" t="n"/>
      <c r="H130" s="94" t="n"/>
      <c r="I130" s="94" t="n"/>
      <c r="J130" s="94" t="n"/>
      <c r="K130" s="94" t="n"/>
      <c r="L130" s="94" t="n"/>
      <c r="M130" s="94" t="n"/>
      <c r="N130" s="94" t="n"/>
      <c r="O130" s="94" t="n"/>
      <c r="P130" s="94" t="n"/>
      <c r="Q130" s="94" t="n"/>
      <c r="R130" s="94" t="n"/>
      <c r="S130" s="94" t="n"/>
      <c r="T130" s="94" t="n"/>
      <c r="U130" s="94" t="n"/>
      <c r="V130" s="94" t="n"/>
      <c r="W130" s="94" t="n"/>
      <c r="X130" s="94" t="n"/>
      <c r="Y130" s="94" t="n"/>
      <c r="Z130" s="94" t="n"/>
      <c r="AA130" s="94" t="n"/>
      <c r="AB130" s="94" t="n"/>
      <c r="AC130" s="94" t="n"/>
      <c r="AD130" s="94" t="n"/>
      <c r="AE130" s="94" t="n"/>
      <c r="AF130" s="94" t="n"/>
      <c r="AG130" s="94" t="n"/>
      <c r="AH130" s="94" t="n"/>
      <c r="AI130" s="94" t="n"/>
      <c r="AJ130" s="94" t="n"/>
      <c r="AK130" s="94" t="n"/>
      <c r="AL130" s="94" t="n"/>
      <c r="AM130" s="94" t="n"/>
      <c r="AN130" s="94" t="n"/>
      <c r="AO130" s="94" t="n"/>
      <c r="AP130" s="94" t="n"/>
      <c r="AQ130" s="94" t="n"/>
      <c r="AR130" s="94" t="n"/>
      <c r="AS130" s="94" t="n"/>
      <c r="AT130" s="94" t="n"/>
      <c r="AU130" s="94" t="n"/>
      <c r="AV130" s="94" t="n"/>
      <c r="AW130" s="94" t="n"/>
      <c r="AX130" s="94" t="n"/>
      <c r="AY130" s="94" t="n"/>
      <c r="AZ130" s="94" t="n"/>
      <c r="BA130" s="94" t="n"/>
      <c r="BB130" s="94" t="n"/>
      <c r="BC130" s="94" t="n"/>
      <c r="BD130" s="94" t="n"/>
    </row>
    <row r="131" ht="15.75" customHeight="1" s="163">
      <c r="A131" s="94" t="n"/>
      <c r="B131" s="94" t="n"/>
      <c r="C131" s="94" t="n"/>
      <c r="D131" s="94" t="n"/>
      <c r="E131" s="94" t="n"/>
      <c r="F131" s="94" t="n"/>
      <c r="G131" s="94" t="n"/>
      <c r="H131" s="94" t="n"/>
      <c r="I131" s="94" t="n"/>
      <c r="J131" s="94" t="n"/>
      <c r="K131" s="94" t="n"/>
      <c r="L131" s="94" t="n"/>
      <c r="M131" s="94" t="n"/>
      <c r="N131" s="94" t="n"/>
      <c r="O131" s="94" t="n"/>
      <c r="P131" s="94" t="n"/>
      <c r="Q131" s="94" t="n"/>
      <c r="R131" s="94" t="n"/>
      <c r="S131" s="94" t="n"/>
      <c r="T131" s="94" t="n"/>
      <c r="U131" s="94" t="n"/>
      <c r="V131" s="94" t="n"/>
      <c r="W131" s="94" t="n"/>
      <c r="X131" s="94" t="n"/>
      <c r="Y131" s="94" t="n"/>
      <c r="Z131" s="94" t="n"/>
      <c r="AA131" s="94" t="n"/>
      <c r="AB131" s="94" t="n"/>
      <c r="AC131" s="94" t="n"/>
      <c r="AD131" s="94" t="n"/>
      <c r="AE131" s="94" t="n"/>
      <c r="AF131" s="94" t="n"/>
      <c r="AG131" s="94" t="n"/>
      <c r="AH131" s="94" t="n"/>
      <c r="AI131" s="94" t="n"/>
      <c r="AJ131" s="94" t="n"/>
      <c r="AK131" s="94" t="n"/>
      <c r="AL131" s="94" t="n"/>
      <c r="AM131" s="94" t="n"/>
      <c r="AN131" s="94" t="n"/>
      <c r="AO131" s="94" t="n"/>
      <c r="AP131" s="94" t="n"/>
      <c r="AQ131" s="94" t="n"/>
      <c r="AR131" s="94" t="n"/>
      <c r="AS131" s="94" t="n"/>
      <c r="AT131" s="94" t="n"/>
      <c r="AU131" s="94" t="n"/>
      <c r="AV131" s="94" t="n"/>
      <c r="AW131" s="94" t="n"/>
      <c r="AX131" s="94" t="n"/>
      <c r="AY131" s="94" t="n"/>
      <c r="AZ131" s="94" t="n"/>
      <c r="BA131" s="94" t="n"/>
      <c r="BB131" s="94" t="n"/>
      <c r="BC131" s="94" t="n"/>
      <c r="BD131" s="94" t="n"/>
    </row>
    <row r="132" ht="15.75" customHeight="1" s="163">
      <c r="A132" s="94" t="n"/>
      <c r="B132" s="94" t="n"/>
      <c r="C132" s="94" t="n"/>
      <c r="D132" s="94" t="n"/>
      <c r="E132" s="94" t="n"/>
      <c r="F132" s="94" t="n"/>
      <c r="G132" s="94" t="n"/>
      <c r="H132" s="94" t="n"/>
      <c r="I132" s="94" t="n"/>
      <c r="J132" s="94" t="n"/>
      <c r="K132" s="94" t="n"/>
      <c r="L132" s="94" t="n"/>
      <c r="M132" s="94" t="n"/>
      <c r="N132" s="94" t="n"/>
      <c r="O132" s="94" t="n"/>
      <c r="P132" s="94" t="n"/>
      <c r="Q132" s="94" t="n"/>
      <c r="R132" s="94" t="n"/>
      <c r="S132" s="94" t="n"/>
      <c r="T132" s="94" t="n"/>
      <c r="U132" s="94" t="n"/>
      <c r="V132" s="94" t="n"/>
      <c r="W132" s="94" t="n"/>
      <c r="X132" s="94" t="n"/>
      <c r="Y132" s="94" t="n"/>
      <c r="Z132" s="94" t="n"/>
      <c r="AA132" s="94" t="n"/>
      <c r="AB132" s="94" t="n"/>
      <c r="AC132" s="94" t="n"/>
      <c r="AD132" s="94" t="n"/>
      <c r="AE132" s="94" t="n"/>
      <c r="AF132" s="94" t="n"/>
      <c r="AG132" s="94" t="n"/>
      <c r="AH132" s="94" t="n"/>
      <c r="AI132" s="94" t="n"/>
      <c r="AJ132" s="94" t="n"/>
      <c r="AK132" s="94" t="n"/>
      <c r="AL132" s="94" t="n"/>
      <c r="AM132" s="94" t="n"/>
      <c r="AN132" s="94" t="n"/>
      <c r="AO132" s="94" t="n"/>
      <c r="AP132" s="94" t="n"/>
      <c r="AQ132" s="94" t="n"/>
      <c r="AR132" s="94" t="n"/>
      <c r="AS132" s="94" t="n"/>
      <c r="AT132" s="94" t="n"/>
      <c r="AU132" s="94" t="n"/>
      <c r="AV132" s="94" t="n"/>
      <c r="AW132" s="94" t="n"/>
      <c r="AX132" s="94" t="n"/>
      <c r="AY132" s="94" t="n"/>
      <c r="AZ132" s="94" t="n"/>
      <c r="BA132" s="94" t="n"/>
      <c r="BB132" s="94" t="n"/>
      <c r="BC132" s="94" t="n"/>
      <c r="BD132" s="94" t="n"/>
    </row>
    <row r="133" ht="15.75" customHeight="1" s="163">
      <c r="A133" s="94" t="n"/>
      <c r="B133" s="94" t="n"/>
      <c r="C133" s="94" t="n"/>
      <c r="D133" s="94" t="n"/>
      <c r="E133" s="94" t="n"/>
      <c r="F133" s="94" t="n"/>
      <c r="G133" s="94" t="n"/>
      <c r="H133" s="94" t="n"/>
      <c r="I133" s="94" t="n"/>
      <c r="J133" s="94" t="n"/>
      <c r="K133" s="94" t="n"/>
      <c r="L133" s="94" t="n"/>
      <c r="M133" s="94" t="n"/>
      <c r="N133" s="94" t="n"/>
      <c r="O133" s="94" t="n"/>
      <c r="P133" s="94" t="n"/>
      <c r="Q133" s="94" t="n"/>
      <c r="R133" s="94" t="n"/>
      <c r="S133" s="94" t="n"/>
      <c r="T133" s="94" t="n"/>
      <c r="U133" s="94" t="n"/>
      <c r="V133" s="94" t="n"/>
      <c r="W133" s="94" t="n"/>
      <c r="X133" s="94" t="n"/>
      <c r="Y133" s="94" t="n"/>
      <c r="Z133" s="94" t="n"/>
      <c r="AA133" s="94" t="n"/>
      <c r="AB133" s="94" t="n"/>
      <c r="AC133" s="94" t="n"/>
      <c r="AD133" s="94" t="n"/>
      <c r="AE133" s="94" t="n"/>
      <c r="AF133" s="94" t="n"/>
      <c r="AG133" s="94" t="n"/>
      <c r="AH133" s="94" t="n"/>
      <c r="AI133" s="94" t="n"/>
      <c r="AJ133" s="94" t="n"/>
      <c r="AK133" s="94" t="n"/>
      <c r="AL133" s="94" t="n"/>
      <c r="AM133" s="94" t="n"/>
      <c r="AN133" s="94" t="n"/>
      <c r="AO133" s="94" t="n"/>
      <c r="AP133" s="94" t="n"/>
      <c r="AQ133" s="94" t="n"/>
      <c r="AR133" s="94" t="n"/>
      <c r="AS133" s="94" t="n"/>
      <c r="AT133" s="94" t="n"/>
      <c r="AU133" s="94" t="n"/>
      <c r="AV133" s="94" t="n"/>
      <c r="AW133" s="94" t="n"/>
      <c r="AX133" s="94" t="n"/>
      <c r="AY133" s="94" t="n"/>
      <c r="AZ133" s="94" t="n"/>
      <c r="BA133" s="94" t="n"/>
      <c r="BB133" s="94" t="n"/>
      <c r="BC133" s="94" t="n"/>
      <c r="BD133" s="94" t="n"/>
    </row>
    <row r="134" ht="15.75" customHeight="1" s="163">
      <c r="A134" s="94" t="n"/>
      <c r="B134" s="94" t="n"/>
      <c r="C134" s="94" t="n"/>
      <c r="D134" s="94" t="n"/>
      <c r="E134" s="94" t="n"/>
      <c r="F134" s="94" t="n"/>
      <c r="G134" s="94" t="n"/>
      <c r="H134" s="94" t="n"/>
      <c r="I134" s="94" t="n"/>
      <c r="J134" s="94" t="n"/>
      <c r="K134" s="94" t="n"/>
      <c r="L134" s="94" t="n"/>
      <c r="M134" s="94" t="n"/>
      <c r="N134" s="94" t="n"/>
      <c r="O134" s="94" t="n"/>
      <c r="P134" s="94" t="n"/>
      <c r="Q134" s="94" t="n"/>
      <c r="R134" s="94" t="n"/>
      <c r="S134" s="94" t="n"/>
      <c r="T134" s="94" t="n"/>
      <c r="U134" s="94" t="n"/>
      <c r="V134" s="94" t="n"/>
      <c r="W134" s="94" t="n"/>
      <c r="X134" s="94" t="n"/>
      <c r="Y134" s="94" t="n"/>
      <c r="Z134" s="94" t="n"/>
      <c r="AA134" s="94" t="n"/>
      <c r="AB134" s="94" t="n"/>
      <c r="AC134" s="94" t="n"/>
      <c r="AD134" s="94" t="n"/>
      <c r="AE134" s="94" t="n"/>
      <c r="AF134" s="94" t="n"/>
      <c r="AG134" s="94" t="n"/>
      <c r="AH134" s="94" t="n"/>
      <c r="AI134" s="94" t="n"/>
      <c r="AJ134" s="94" t="n"/>
      <c r="AK134" s="94" t="n"/>
      <c r="AL134" s="94" t="n"/>
      <c r="AM134" s="94" t="n"/>
      <c r="AN134" s="94" t="n"/>
      <c r="AO134" s="94" t="n"/>
      <c r="AP134" s="94" t="n"/>
      <c r="AQ134" s="94" t="n"/>
      <c r="AR134" s="94" t="n"/>
      <c r="AS134" s="94" t="n"/>
      <c r="AT134" s="94" t="n"/>
      <c r="AU134" s="94" t="n"/>
      <c r="AV134" s="94" t="n"/>
      <c r="AW134" s="94" t="n"/>
      <c r="AX134" s="94" t="n"/>
      <c r="AY134" s="94" t="n"/>
      <c r="AZ134" s="94" t="n"/>
      <c r="BA134" s="94" t="n"/>
      <c r="BB134" s="94" t="n"/>
      <c r="BC134" s="94" t="n"/>
      <c r="BD134" s="94" t="n"/>
    </row>
    <row r="135" ht="15.75" customHeight="1" s="163">
      <c r="A135" s="94" t="n"/>
      <c r="B135" s="94" t="n"/>
      <c r="C135" s="94" t="n"/>
      <c r="D135" s="94" t="n"/>
      <c r="E135" s="94" t="n"/>
      <c r="F135" s="94" t="n"/>
      <c r="G135" s="94" t="n"/>
      <c r="H135" s="94" t="n"/>
      <c r="I135" s="94" t="n"/>
      <c r="J135" s="94" t="n"/>
      <c r="K135" s="94" t="n"/>
      <c r="L135" s="94" t="n"/>
      <c r="M135" s="94" t="n"/>
      <c r="N135" s="94" t="n"/>
      <c r="O135" s="94" t="n"/>
      <c r="P135" s="94" t="n"/>
      <c r="Q135" s="94" t="n"/>
      <c r="R135" s="94" t="n"/>
      <c r="S135" s="94" t="n"/>
      <c r="T135" s="94" t="n"/>
      <c r="U135" s="94" t="n"/>
      <c r="V135" s="94" t="n"/>
      <c r="W135" s="94" t="n"/>
      <c r="X135" s="94" t="n"/>
      <c r="Y135" s="94" t="n"/>
      <c r="Z135" s="94" t="n"/>
      <c r="AA135" s="94" t="n"/>
      <c r="AB135" s="94" t="n"/>
      <c r="AC135" s="94" t="n"/>
      <c r="AD135" s="94" t="n"/>
      <c r="AE135" s="94" t="n"/>
      <c r="AF135" s="94" t="n"/>
      <c r="AG135" s="94" t="n"/>
      <c r="AH135" s="94" t="n"/>
      <c r="AI135" s="94" t="n"/>
      <c r="AJ135" s="94" t="n"/>
      <c r="AK135" s="94" t="n"/>
      <c r="AL135" s="94" t="n"/>
      <c r="AM135" s="94" t="n"/>
      <c r="AN135" s="94" t="n"/>
      <c r="AO135" s="94" t="n"/>
      <c r="AP135" s="94" t="n"/>
      <c r="AQ135" s="94" t="n"/>
      <c r="AR135" s="94" t="n"/>
      <c r="AS135" s="94" t="n"/>
      <c r="AT135" s="94" t="n"/>
      <c r="AU135" s="94" t="n"/>
      <c r="AV135" s="94" t="n"/>
      <c r="AW135" s="94" t="n"/>
      <c r="AX135" s="94" t="n"/>
      <c r="AY135" s="94" t="n"/>
      <c r="AZ135" s="94" t="n"/>
      <c r="BA135" s="94" t="n"/>
      <c r="BB135" s="94" t="n"/>
      <c r="BC135" s="94" t="n"/>
      <c r="BD135" s="94" t="n"/>
    </row>
    <row r="136" ht="15.75" customHeight="1" s="163">
      <c r="A136" s="94" t="n"/>
      <c r="B136" s="94" t="n"/>
      <c r="C136" s="94" t="n"/>
      <c r="D136" s="94" t="n"/>
      <c r="E136" s="94" t="n"/>
      <c r="F136" s="94" t="n"/>
      <c r="G136" s="94" t="n"/>
      <c r="H136" s="94" t="n"/>
      <c r="I136" s="94" t="n"/>
      <c r="J136" s="94" t="n"/>
      <c r="K136" s="94" t="n"/>
      <c r="L136" s="94" t="n"/>
      <c r="M136" s="94" t="n"/>
      <c r="N136" s="94" t="n"/>
      <c r="O136" s="94" t="n"/>
      <c r="P136" s="94" t="n"/>
      <c r="Q136" s="94" t="n"/>
      <c r="R136" s="94" t="n"/>
      <c r="S136" s="94" t="n"/>
      <c r="T136" s="94" t="n"/>
      <c r="U136" s="94" t="n"/>
      <c r="V136" s="94" t="n"/>
      <c r="W136" s="94" t="n"/>
      <c r="X136" s="94" t="n"/>
      <c r="Y136" s="94" t="n"/>
      <c r="Z136" s="94" t="n"/>
      <c r="AA136" s="94" t="n"/>
      <c r="AB136" s="94" t="n"/>
      <c r="AC136" s="94" t="n"/>
      <c r="AD136" s="94" t="n"/>
      <c r="AE136" s="94" t="n"/>
      <c r="AF136" s="94" t="n"/>
      <c r="AG136" s="94" t="n"/>
      <c r="AH136" s="94" t="n"/>
      <c r="AI136" s="94" t="n"/>
      <c r="AJ136" s="94" t="n"/>
      <c r="AK136" s="94" t="n"/>
      <c r="AL136" s="94" t="n"/>
      <c r="AM136" s="94" t="n"/>
      <c r="AN136" s="94" t="n"/>
      <c r="AO136" s="94" t="n"/>
      <c r="AP136" s="94" t="n"/>
      <c r="AQ136" s="94" t="n"/>
      <c r="AR136" s="94" t="n"/>
      <c r="AS136" s="94" t="n"/>
      <c r="AT136" s="94" t="n"/>
      <c r="AU136" s="94" t="n"/>
      <c r="AV136" s="94" t="n"/>
      <c r="AW136" s="94" t="n"/>
      <c r="AX136" s="94" t="n"/>
      <c r="AY136" s="94" t="n"/>
      <c r="AZ136" s="94" t="n"/>
      <c r="BA136" s="94" t="n"/>
      <c r="BB136" s="94" t="n"/>
      <c r="BC136" s="94" t="n"/>
      <c r="BD136" s="94" t="n"/>
    </row>
    <row r="137" ht="15.75" customHeight="1" s="163">
      <c r="A137" s="94" t="n"/>
      <c r="B137" s="94" t="n"/>
      <c r="C137" s="94" t="n"/>
      <c r="D137" s="94" t="n"/>
      <c r="E137" s="94" t="n"/>
      <c r="F137" s="94" t="n"/>
      <c r="G137" s="94" t="n"/>
      <c r="H137" s="94" t="n"/>
      <c r="I137" s="94" t="n"/>
      <c r="J137" s="94" t="n"/>
      <c r="K137" s="94" t="n"/>
      <c r="L137" s="94" t="n"/>
      <c r="M137" s="94" t="n"/>
      <c r="N137" s="94" t="n"/>
      <c r="O137" s="94" t="n"/>
      <c r="P137" s="94" t="n"/>
      <c r="Q137" s="94" t="n"/>
      <c r="R137" s="94" t="n"/>
      <c r="S137" s="94" t="n"/>
      <c r="T137" s="94" t="n"/>
      <c r="U137" s="94" t="n"/>
      <c r="V137" s="94" t="n"/>
      <c r="W137" s="94" t="n"/>
      <c r="X137" s="94" t="n"/>
      <c r="Y137" s="94" t="n"/>
      <c r="Z137" s="94" t="n"/>
      <c r="AA137" s="94" t="n"/>
      <c r="AB137" s="94" t="n"/>
      <c r="AC137" s="94" t="n"/>
      <c r="AD137" s="94" t="n"/>
      <c r="AE137" s="94" t="n"/>
      <c r="AF137" s="94" t="n"/>
      <c r="AG137" s="94" t="n"/>
      <c r="AH137" s="94" t="n"/>
      <c r="AI137" s="94" t="n"/>
      <c r="AJ137" s="94" t="n"/>
      <c r="AK137" s="94" t="n"/>
      <c r="AL137" s="94" t="n"/>
      <c r="AM137" s="94" t="n"/>
      <c r="AN137" s="94" t="n"/>
      <c r="AO137" s="94" t="n"/>
      <c r="AP137" s="94" t="n"/>
      <c r="AQ137" s="94" t="n"/>
      <c r="AR137" s="94" t="n"/>
      <c r="AS137" s="94" t="n"/>
      <c r="AT137" s="94" t="n"/>
      <c r="AU137" s="94" t="n"/>
      <c r="AV137" s="94" t="n"/>
      <c r="AW137" s="94" t="n"/>
      <c r="AX137" s="94" t="n"/>
      <c r="AY137" s="94" t="n"/>
      <c r="AZ137" s="94" t="n"/>
      <c r="BA137" s="94" t="n"/>
      <c r="BB137" s="94" t="n"/>
      <c r="BC137" s="94" t="n"/>
      <c r="BD137" s="94" t="n"/>
    </row>
    <row r="138" ht="15.75" customHeight="1" s="163">
      <c r="A138" s="94" t="n"/>
      <c r="B138" s="94" t="n"/>
      <c r="C138" s="94" t="n"/>
      <c r="D138" s="94" t="n"/>
      <c r="E138" s="94" t="n"/>
      <c r="F138" s="94" t="n"/>
      <c r="G138" s="94" t="n"/>
      <c r="H138" s="94" t="n"/>
      <c r="I138" s="94" t="n"/>
      <c r="J138" s="94" t="n"/>
      <c r="K138" s="94" t="n"/>
      <c r="L138" s="94" t="n"/>
      <c r="M138" s="94" t="n"/>
      <c r="N138" s="94" t="n"/>
      <c r="O138" s="94" t="n"/>
      <c r="P138" s="94" t="n"/>
      <c r="Q138" s="94" t="n"/>
      <c r="R138" s="94" t="n"/>
      <c r="S138" s="94" t="n"/>
      <c r="T138" s="94" t="n"/>
      <c r="U138" s="94" t="n"/>
      <c r="V138" s="94" t="n"/>
      <c r="W138" s="94" t="n"/>
      <c r="X138" s="94" t="n"/>
      <c r="Y138" s="94" t="n"/>
      <c r="Z138" s="94" t="n"/>
      <c r="AA138" s="94" t="n"/>
      <c r="AB138" s="94" t="n"/>
      <c r="AC138" s="94" t="n"/>
      <c r="AD138" s="94" t="n"/>
      <c r="AE138" s="94" t="n"/>
      <c r="AF138" s="94" t="n"/>
      <c r="AG138" s="94" t="n"/>
      <c r="AH138" s="94" t="n"/>
      <c r="AI138" s="94" t="n"/>
      <c r="AJ138" s="94" t="n"/>
      <c r="AK138" s="94" t="n"/>
      <c r="AL138" s="94" t="n"/>
      <c r="AM138" s="94" t="n"/>
      <c r="AN138" s="94" t="n"/>
      <c r="AO138" s="94" t="n"/>
      <c r="AP138" s="94" t="n"/>
      <c r="AQ138" s="94" t="n"/>
      <c r="AR138" s="94" t="n"/>
      <c r="AS138" s="94" t="n"/>
      <c r="AT138" s="94" t="n"/>
      <c r="AU138" s="94" t="n"/>
      <c r="AV138" s="94" t="n"/>
      <c r="AW138" s="94" t="n"/>
      <c r="AX138" s="94" t="n"/>
      <c r="AY138" s="94" t="n"/>
      <c r="AZ138" s="94" t="n"/>
      <c r="BA138" s="94" t="n"/>
      <c r="BB138" s="94" t="n"/>
      <c r="BC138" s="94" t="n"/>
      <c r="BD138" s="94" t="n"/>
    </row>
    <row r="139" ht="15.75" customHeight="1" s="163">
      <c r="A139" s="94" t="n"/>
      <c r="B139" s="94" t="n"/>
      <c r="C139" s="94" t="n"/>
      <c r="D139" s="94" t="n"/>
      <c r="E139" s="94" t="n"/>
      <c r="F139" s="94" t="n"/>
      <c r="G139" s="94" t="n"/>
      <c r="H139" s="94" t="n"/>
      <c r="I139" s="94" t="n"/>
      <c r="J139" s="94" t="n"/>
      <c r="K139" s="94" t="n"/>
      <c r="L139" s="94" t="n"/>
      <c r="M139" s="94" t="n"/>
      <c r="N139" s="94" t="n"/>
      <c r="O139" s="94" t="n"/>
      <c r="P139" s="94" t="n"/>
      <c r="Q139" s="94" t="n"/>
      <c r="R139" s="94" t="n"/>
      <c r="S139" s="94" t="n"/>
      <c r="T139" s="94" t="n"/>
      <c r="U139" s="94" t="n"/>
      <c r="V139" s="94" t="n"/>
      <c r="W139" s="94" t="n"/>
      <c r="X139" s="94" t="n"/>
      <c r="Y139" s="94" t="n"/>
      <c r="Z139" s="94" t="n"/>
      <c r="AA139" s="94" t="n"/>
      <c r="AB139" s="94" t="n"/>
      <c r="AC139" s="94" t="n"/>
      <c r="AD139" s="94" t="n"/>
      <c r="AE139" s="94" t="n"/>
      <c r="AF139" s="94" t="n"/>
      <c r="AG139" s="94" t="n"/>
      <c r="AH139" s="94" t="n"/>
      <c r="AI139" s="94" t="n"/>
      <c r="AJ139" s="94" t="n"/>
      <c r="AK139" s="94" t="n"/>
      <c r="AL139" s="94" t="n"/>
      <c r="AM139" s="94" t="n"/>
      <c r="AN139" s="94" t="n"/>
      <c r="AO139" s="94" t="n"/>
      <c r="AP139" s="94" t="n"/>
      <c r="AQ139" s="94" t="n"/>
      <c r="AR139" s="94" t="n"/>
      <c r="AS139" s="94" t="n"/>
      <c r="AT139" s="94" t="n"/>
      <c r="AU139" s="94" t="n"/>
      <c r="AV139" s="94" t="n"/>
      <c r="AW139" s="94" t="n"/>
      <c r="AX139" s="94" t="n"/>
      <c r="AY139" s="94" t="n"/>
      <c r="AZ139" s="94" t="n"/>
      <c r="BA139" s="94" t="n"/>
      <c r="BB139" s="94" t="n"/>
      <c r="BC139" s="94" t="n"/>
      <c r="BD139" s="94" t="n"/>
    </row>
    <row r="140" ht="15.75" customHeight="1" s="163">
      <c r="A140" s="94" t="n"/>
      <c r="B140" s="94" t="n"/>
      <c r="C140" s="94" t="n"/>
      <c r="D140" s="94" t="n"/>
      <c r="E140" s="94" t="n"/>
      <c r="F140" s="94" t="n"/>
      <c r="G140" s="94" t="n"/>
      <c r="H140" s="94" t="n"/>
      <c r="I140" s="94" t="n"/>
      <c r="J140" s="94" t="n"/>
      <c r="K140" s="94" t="n"/>
      <c r="L140" s="94" t="n"/>
      <c r="M140" s="94" t="n"/>
      <c r="N140" s="94" t="n"/>
      <c r="O140" s="94" t="n"/>
      <c r="P140" s="94" t="n"/>
      <c r="Q140" s="94" t="n"/>
      <c r="R140" s="94" t="n"/>
      <c r="S140" s="94" t="n"/>
      <c r="T140" s="94" t="n"/>
      <c r="U140" s="94" t="n"/>
      <c r="V140" s="94" t="n"/>
      <c r="W140" s="94" t="n"/>
      <c r="X140" s="94" t="n"/>
      <c r="Y140" s="94" t="n"/>
      <c r="Z140" s="94" t="n"/>
      <c r="AA140" s="94" t="n"/>
      <c r="AB140" s="94" t="n"/>
      <c r="AC140" s="94" t="n"/>
      <c r="AD140" s="94" t="n"/>
      <c r="AE140" s="94" t="n"/>
      <c r="AF140" s="94" t="n"/>
      <c r="AG140" s="94" t="n"/>
      <c r="AH140" s="94" t="n"/>
      <c r="AI140" s="94" t="n"/>
      <c r="AJ140" s="94" t="n"/>
      <c r="AK140" s="94" t="n"/>
      <c r="AL140" s="94" t="n"/>
      <c r="AM140" s="94" t="n"/>
      <c r="AN140" s="94" t="n"/>
      <c r="AO140" s="94" t="n"/>
      <c r="AP140" s="94" t="n"/>
      <c r="AQ140" s="94" t="n"/>
      <c r="AR140" s="94" t="n"/>
      <c r="AS140" s="94" t="n"/>
      <c r="AT140" s="94" t="n"/>
      <c r="AU140" s="94" t="n"/>
      <c r="AV140" s="94" t="n"/>
      <c r="AW140" s="94" t="n"/>
      <c r="AX140" s="94" t="n"/>
      <c r="AY140" s="94" t="n"/>
      <c r="AZ140" s="94" t="n"/>
      <c r="BA140" s="94" t="n"/>
      <c r="BB140" s="94" t="n"/>
      <c r="BC140" s="94" t="n"/>
      <c r="BD140" s="94" t="n"/>
    </row>
    <row r="141" ht="15.75" customHeight="1" s="163">
      <c r="A141" s="94" t="n"/>
      <c r="B141" s="94" t="n"/>
      <c r="C141" s="94" t="n"/>
      <c r="D141" s="94" t="n"/>
      <c r="E141" s="94" t="n"/>
      <c r="F141" s="94" t="n"/>
      <c r="G141" s="94" t="n"/>
      <c r="H141" s="94" t="n"/>
      <c r="I141" s="94" t="n"/>
      <c r="J141" s="94" t="n"/>
      <c r="K141" s="94" t="n"/>
      <c r="L141" s="94" t="n"/>
      <c r="M141" s="94" t="n"/>
      <c r="N141" s="94" t="n"/>
      <c r="O141" s="94" t="n"/>
      <c r="P141" s="94" t="n"/>
      <c r="Q141" s="94" t="n"/>
      <c r="R141" s="94" t="n"/>
      <c r="S141" s="94" t="n"/>
      <c r="T141" s="94" t="n"/>
      <c r="U141" s="94" t="n"/>
      <c r="V141" s="94" t="n"/>
      <c r="W141" s="94" t="n"/>
      <c r="X141" s="94" t="n"/>
      <c r="Y141" s="94" t="n"/>
      <c r="Z141" s="94" t="n"/>
      <c r="AA141" s="94" t="n"/>
      <c r="AB141" s="94" t="n"/>
      <c r="AC141" s="94" t="n"/>
      <c r="AD141" s="94" t="n"/>
      <c r="AE141" s="94" t="n"/>
      <c r="AF141" s="94" t="n"/>
      <c r="AG141" s="94" t="n"/>
      <c r="AH141" s="94" t="n"/>
      <c r="AI141" s="94" t="n"/>
      <c r="AJ141" s="94" t="n"/>
      <c r="AK141" s="94" t="n"/>
      <c r="AL141" s="94" t="n"/>
      <c r="AM141" s="94" t="n"/>
      <c r="AN141" s="94" t="n"/>
      <c r="AO141" s="94" t="n"/>
      <c r="AP141" s="94" t="n"/>
      <c r="AQ141" s="94" t="n"/>
      <c r="AR141" s="94" t="n"/>
      <c r="AS141" s="94" t="n"/>
      <c r="AT141" s="94" t="n"/>
      <c r="AU141" s="94" t="n"/>
      <c r="AV141" s="94" t="n"/>
      <c r="AW141" s="94" t="n"/>
      <c r="AX141" s="94" t="n"/>
      <c r="AY141" s="94" t="n"/>
      <c r="AZ141" s="94" t="n"/>
      <c r="BA141" s="94" t="n"/>
      <c r="BB141" s="94" t="n"/>
      <c r="BC141" s="94" t="n"/>
      <c r="BD141" s="94" t="n"/>
    </row>
    <row r="142" ht="15.75" customHeight="1" s="163">
      <c r="A142" s="94" t="n"/>
      <c r="B142" s="94" t="n"/>
      <c r="C142" s="94" t="n"/>
      <c r="D142" s="94" t="n"/>
      <c r="E142" s="94" t="n"/>
      <c r="F142" s="94" t="n"/>
      <c r="G142" s="94" t="n"/>
      <c r="H142" s="94" t="n"/>
      <c r="I142" s="94" t="n"/>
      <c r="J142" s="94" t="n"/>
      <c r="K142" s="94" t="n"/>
      <c r="L142" s="94" t="n"/>
      <c r="M142" s="94" t="n"/>
      <c r="N142" s="94" t="n"/>
      <c r="O142" s="94" t="n"/>
      <c r="P142" s="94" t="n"/>
      <c r="Q142" s="94" t="n"/>
      <c r="R142" s="94" t="n"/>
      <c r="S142" s="94" t="n"/>
      <c r="T142" s="94" t="n"/>
      <c r="U142" s="94" t="n"/>
      <c r="V142" s="94" t="n"/>
      <c r="W142" s="94" t="n"/>
      <c r="X142" s="94" t="n"/>
      <c r="Y142" s="94" t="n"/>
      <c r="Z142" s="94" t="n"/>
      <c r="AA142" s="94" t="n"/>
      <c r="AB142" s="94" t="n"/>
      <c r="AC142" s="94" t="n"/>
      <c r="AD142" s="94" t="n"/>
      <c r="AE142" s="94" t="n"/>
      <c r="AF142" s="94" t="n"/>
      <c r="AG142" s="94" t="n"/>
      <c r="AH142" s="94" t="n"/>
      <c r="AI142" s="94" t="n"/>
      <c r="AJ142" s="94" t="n"/>
      <c r="AK142" s="94" t="n"/>
      <c r="AL142" s="94" t="n"/>
      <c r="AM142" s="94" t="n"/>
      <c r="AN142" s="94" t="n"/>
      <c r="AO142" s="94" t="n"/>
      <c r="AP142" s="94" t="n"/>
      <c r="AQ142" s="94" t="n"/>
      <c r="AR142" s="94" t="n"/>
      <c r="AS142" s="94" t="n"/>
      <c r="AT142" s="94" t="n"/>
      <c r="AU142" s="94" t="n"/>
      <c r="AV142" s="94" t="n"/>
      <c r="AW142" s="94" t="n"/>
      <c r="AX142" s="94" t="n"/>
      <c r="AY142" s="94" t="n"/>
      <c r="AZ142" s="94" t="n"/>
      <c r="BA142" s="94" t="n"/>
      <c r="BB142" s="94" t="n"/>
      <c r="BC142" s="94" t="n"/>
      <c r="BD142" s="94" t="n"/>
    </row>
    <row r="143" ht="15.75" customHeight="1" s="163">
      <c r="A143" s="94" t="n"/>
      <c r="B143" s="94" t="n"/>
      <c r="C143" s="94" t="n"/>
      <c r="D143" s="94" t="n"/>
      <c r="E143" s="94" t="n"/>
      <c r="F143" s="94" t="n"/>
      <c r="G143" s="94" t="n"/>
      <c r="H143" s="94" t="n"/>
      <c r="I143" s="94" t="n"/>
      <c r="J143" s="94" t="n"/>
      <c r="K143" s="94" t="n"/>
      <c r="L143" s="94" t="n"/>
      <c r="M143" s="94" t="n"/>
      <c r="N143" s="94" t="n"/>
      <c r="O143" s="94" t="n"/>
      <c r="P143" s="94" t="n"/>
      <c r="Q143" s="94" t="n"/>
      <c r="R143" s="94" t="n"/>
      <c r="S143" s="94" t="n"/>
      <c r="T143" s="94" t="n"/>
      <c r="U143" s="94" t="n"/>
      <c r="V143" s="94" t="n"/>
      <c r="W143" s="94" t="n"/>
      <c r="X143" s="94" t="n"/>
      <c r="Y143" s="94" t="n"/>
      <c r="Z143" s="94" t="n"/>
      <c r="AA143" s="94" t="n"/>
      <c r="AB143" s="94" t="n"/>
      <c r="AC143" s="94" t="n"/>
      <c r="AD143" s="94" t="n"/>
      <c r="AE143" s="94" t="n"/>
      <c r="AF143" s="94" t="n"/>
      <c r="AG143" s="94" t="n"/>
      <c r="AH143" s="94" t="n"/>
      <c r="AI143" s="94" t="n"/>
      <c r="AJ143" s="94" t="n"/>
      <c r="AK143" s="94" t="n"/>
      <c r="AL143" s="94" t="n"/>
      <c r="AM143" s="94" t="n"/>
      <c r="AN143" s="94" t="n"/>
      <c r="AO143" s="94" t="n"/>
      <c r="AP143" s="94" t="n"/>
      <c r="AQ143" s="94" t="n"/>
      <c r="AR143" s="94" t="n"/>
      <c r="AS143" s="94" t="n"/>
      <c r="AT143" s="94" t="n"/>
      <c r="AU143" s="94" t="n"/>
      <c r="AV143" s="94" t="n"/>
      <c r="AW143" s="94" t="n"/>
      <c r="AX143" s="94" t="n"/>
      <c r="AY143" s="94" t="n"/>
      <c r="AZ143" s="94" t="n"/>
      <c r="BA143" s="94" t="n"/>
      <c r="BB143" s="94" t="n"/>
      <c r="BC143" s="94" t="n"/>
      <c r="BD143" s="94" t="n"/>
    </row>
    <row r="144" ht="15.75" customHeight="1" s="163">
      <c r="A144" s="94" t="n"/>
      <c r="B144" s="94" t="n"/>
      <c r="C144" s="94" t="n"/>
      <c r="D144" s="94" t="n"/>
      <c r="E144" s="94" t="n"/>
      <c r="F144" s="94" t="n"/>
      <c r="G144" s="94" t="n"/>
      <c r="H144" s="94" t="n"/>
      <c r="I144" s="94" t="n"/>
      <c r="J144" s="94" t="n"/>
      <c r="K144" s="94" t="n"/>
      <c r="L144" s="94" t="n"/>
      <c r="M144" s="94" t="n"/>
      <c r="N144" s="94" t="n"/>
      <c r="O144" s="94" t="n"/>
      <c r="P144" s="94" t="n"/>
      <c r="Q144" s="94" t="n"/>
      <c r="R144" s="94" t="n"/>
      <c r="S144" s="94" t="n"/>
      <c r="T144" s="94" t="n"/>
      <c r="U144" s="94" t="n"/>
      <c r="V144" s="94" t="n"/>
      <c r="W144" s="94" t="n"/>
      <c r="X144" s="94" t="n"/>
      <c r="Y144" s="94" t="n"/>
      <c r="Z144" s="94" t="n"/>
      <c r="AA144" s="94" t="n"/>
      <c r="AB144" s="94" t="n"/>
      <c r="AC144" s="94" t="n"/>
      <c r="AD144" s="94" t="n"/>
      <c r="AE144" s="94" t="n"/>
      <c r="AF144" s="94" t="n"/>
      <c r="AG144" s="94" t="n"/>
      <c r="AH144" s="94" t="n"/>
      <c r="AI144" s="94" t="n"/>
      <c r="AJ144" s="94" t="n"/>
      <c r="AK144" s="94" t="n"/>
      <c r="AL144" s="94" t="n"/>
      <c r="AM144" s="94" t="n"/>
      <c r="AN144" s="94" t="n"/>
      <c r="AO144" s="94" t="n"/>
      <c r="AP144" s="94" t="n"/>
      <c r="AQ144" s="94" t="n"/>
      <c r="AR144" s="94" t="n"/>
      <c r="AS144" s="94" t="n"/>
      <c r="AT144" s="94" t="n"/>
      <c r="AU144" s="94" t="n"/>
      <c r="AV144" s="94" t="n"/>
      <c r="AW144" s="94" t="n"/>
      <c r="AX144" s="94" t="n"/>
      <c r="AY144" s="94" t="n"/>
      <c r="AZ144" s="94" t="n"/>
      <c r="BA144" s="94" t="n"/>
      <c r="BB144" s="94" t="n"/>
      <c r="BC144" s="94" t="n"/>
      <c r="BD144" s="94" t="n"/>
    </row>
    <row r="145" ht="15.75" customHeight="1" s="163">
      <c r="A145" s="94" t="n"/>
      <c r="B145" s="94" t="n"/>
      <c r="C145" s="94" t="n"/>
      <c r="D145" s="94" t="n"/>
      <c r="E145" s="94" t="n"/>
      <c r="F145" s="94" t="n"/>
      <c r="G145" s="94" t="n"/>
      <c r="H145" s="94" t="n"/>
      <c r="I145" s="94" t="n"/>
      <c r="J145" s="94" t="n"/>
      <c r="K145" s="94" t="n"/>
      <c r="L145" s="94" t="n"/>
      <c r="M145" s="94" t="n"/>
      <c r="N145" s="94" t="n"/>
      <c r="O145" s="94" t="n"/>
      <c r="P145" s="94" t="n"/>
      <c r="Q145" s="94" t="n"/>
      <c r="R145" s="94" t="n"/>
      <c r="S145" s="94" t="n"/>
      <c r="T145" s="94" t="n"/>
      <c r="U145" s="94" t="n"/>
      <c r="V145" s="94" t="n"/>
      <c r="W145" s="94" t="n"/>
      <c r="X145" s="94" t="n"/>
      <c r="Y145" s="94" t="n"/>
      <c r="Z145" s="94" t="n"/>
      <c r="AA145" s="94" t="n"/>
      <c r="AB145" s="94" t="n"/>
      <c r="AC145" s="94" t="n"/>
      <c r="AD145" s="94" t="n"/>
      <c r="AE145" s="94" t="n"/>
      <c r="AF145" s="94" t="n"/>
      <c r="AG145" s="94" t="n"/>
      <c r="AH145" s="94" t="n"/>
      <c r="AI145" s="94" t="n"/>
      <c r="AJ145" s="94" t="n"/>
      <c r="AK145" s="94" t="n"/>
      <c r="AL145" s="94" t="n"/>
      <c r="AM145" s="94" t="n"/>
      <c r="AN145" s="94" t="n"/>
      <c r="AO145" s="94" t="n"/>
      <c r="AP145" s="94" t="n"/>
      <c r="AQ145" s="94" t="n"/>
      <c r="AR145" s="94" t="n"/>
      <c r="AS145" s="94" t="n"/>
      <c r="AT145" s="94" t="n"/>
      <c r="AU145" s="94" t="n"/>
      <c r="AV145" s="94" t="n"/>
      <c r="AW145" s="94" t="n"/>
      <c r="AX145" s="94" t="n"/>
      <c r="AY145" s="94" t="n"/>
      <c r="AZ145" s="94" t="n"/>
      <c r="BA145" s="94" t="n"/>
      <c r="BB145" s="94" t="n"/>
      <c r="BC145" s="94" t="n"/>
      <c r="BD145" s="94" t="n"/>
    </row>
    <row r="146" ht="15.75" customHeight="1" s="163">
      <c r="A146" s="94" t="n"/>
      <c r="B146" s="94" t="n"/>
      <c r="C146" s="94" t="n"/>
      <c r="D146" s="94" t="n"/>
      <c r="E146" s="94" t="n"/>
      <c r="F146" s="94" t="n"/>
      <c r="G146" s="94" t="n"/>
      <c r="H146" s="94" t="n"/>
      <c r="I146" s="94" t="n"/>
      <c r="J146" s="94" t="n"/>
      <c r="K146" s="94" t="n"/>
      <c r="L146" s="94" t="n"/>
      <c r="M146" s="94" t="n"/>
      <c r="N146" s="94" t="n"/>
      <c r="O146" s="94" t="n"/>
      <c r="P146" s="94" t="n"/>
      <c r="Q146" s="94" t="n"/>
      <c r="R146" s="94" t="n"/>
      <c r="S146" s="94" t="n"/>
      <c r="T146" s="94" t="n"/>
      <c r="U146" s="94" t="n"/>
      <c r="V146" s="94" t="n"/>
      <c r="W146" s="94" t="n"/>
      <c r="X146" s="94" t="n"/>
      <c r="Y146" s="94" t="n"/>
      <c r="Z146" s="94" t="n"/>
      <c r="AA146" s="94" t="n"/>
      <c r="AB146" s="94" t="n"/>
      <c r="AC146" s="94" t="n"/>
      <c r="AD146" s="94" t="n"/>
      <c r="AE146" s="94" t="n"/>
      <c r="AF146" s="94" t="n"/>
      <c r="AG146" s="94" t="n"/>
      <c r="AH146" s="94" t="n"/>
      <c r="AI146" s="94" t="n"/>
      <c r="AJ146" s="94" t="n"/>
      <c r="AK146" s="94" t="n"/>
      <c r="AL146" s="94" t="n"/>
      <c r="AM146" s="94" t="n"/>
      <c r="AN146" s="94" t="n"/>
      <c r="AO146" s="94" t="n"/>
      <c r="AP146" s="94" t="n"/>
      <c r="AQ146" s="94" t="n"/>
      <c r="AR146" s="94" t="n"/>
      <c r="AS146" s="94" t="n"/>
      <c r="AT146" s="94" t="n"/>
      <c r="AU146" s="94" t="n"/>
      <c r="AV146" s="94" t="n"/>
      <c r="AW146" s="94" t="n"/>
      <c r="AX146" s="94" t="n"/>
      <c r="AY146" s="94" t="n"/>
      <c r="AZ146" s="94" t="n"/>
      <c r="BA146" s="94" t="n"/>
      <c r="BB146" s="94" t="n"/>
      <c r="BC146" s="94" t="n"/>
      <c r="BD146" s="94" t="n"/>
    </row>
    <row r="147" ht="15.75" customHeight="1" s="163">
      <c r="A147" s="94" t="n"/>
      <c r="B147" s="94" t="n"/>
      <c r="C147" s="94" t="n"/>
      <c r="D147" s="94" t="n"/>
      <c r="E147" s="94" t="n"/>
      <c r="F147" s="94" t="n"/>
      <c r="G147" s="94" t="n"/>
      <c r="H147" s="94" t="n"/>
      <c r="I147" s="94" t="n"/>
      <c r="J147" s="94" t="n"/>
      <c r="K147" s="94" t="n"/>
      <c r="L147" s="94" t="n"/>
      <c r="M147" s="94" t="n"/>
      <c r="N147" s="94" t="n"/>
      <c r="O147" s="94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4" t="n"/>
      <c r="AB147" s="94" t="n"/>
      <c r="AC147" s="94" t="n"/>
      <c r="AD147" s="94" t="n"/>
      <c r="AE147" s="94" t="n"/>
      <c r="AF147" s="94" t="n"/>
      <c r="AG147" s="94" t="n"/>
      <c r="AH147" s="94" t="n"/>
      <c r="AI147" s="94" t="n"/>
      <c r="AJ147" s="94" t="n"/>
      <c r="AK147" s="94" t="n"/>
      <c r="AL147" s="94" t="n"/>
      <c r="AM147" s="94" t="n"/>
      <c r="AN147" s="94" t="n"/>
      <c r="AO147" s="94" t="n"/>
      <c r="AP147" s="94" t="n"/>
      <c r="AQ147" s="94" t="n"/>
      <c r="AR147" s="94" t="n"/>
      <c r="AS147" s="94" t="n"/>
      <c r="AT147" s="94" t="n"/>
      <c r="AU147" s="94" t="n"/>
      <c r="AV147" s="94" t="n"/>
      <c r="AW147" s="94" t="n"/>
      <c r="AX147" s="94" t="n"/>
      <c r="AY147" s="94" t="n"/>
      <c r="AZ147" s="94" t="n"/>
      <c r="BA147" s="94" t="n"/>
      <c r="BB147" s="94" t="n"/>
      <c r="BC147" s="94" t="n"/>
      <c r="BD147" s="94" t="n"/>
    </row>
    <row r="148" ht="15.75" customHeight="1" s="163">
      <c r="A148" s="94" t="n"/>
      <c r="B148" s="94" t="n"/>
      <c r="C148" s="94" t="n"/>
      <c r="D148" s="94" t="n"/>
      <c r="E148" s="94" t="n"/>
      <c r="F148" s="94" t="n"/>
      <c r="G148" s="94" t="n"/>
      <c r="H148" s="94" t="n"/>
      <c r="I148" s="94" t="n"/>
      <c r="J148" s="94" t="n"/>
      <c r="K148" s="94" t="n"/>
      <c r="L148" s="94" t="n"/>
      <c r="M148" s="94" t="n"/>
      <c r="N148" s="94" t="n"/>
      <c r="O148" s="94" t="n"/>
      <c r="P148" s="94" t="n"/>
      <c r="Q148" s="94" t="n"/>
      <c r="R148" s="94" t="n"/>
      <c r="S148" s="94" t="n"/>
      <c r="T148" s="94" t="n"/>
      <c r="U148" s="94" t="n"/>
      <c r="V148" s="94" t="n"/>
      <c r="W148" s="94" t="n"/>
      <c r="X148" s="94" t="n"/>
      <c r="Y148" s="94" t="n"/>
      <c r="Z148" s="94" t="n"/>
      <c r="AA148" s="94" t="n"/>
      <c r="AB148" s="94" t="n"/>
      <c r="AC148" s="94" t="n"/>
      <c r="AD148" s="94" t="n"/>
      <c r="AE148" s="94" t="n"/>
      <c r="AF148" s="94" t="n"/>
      <c r="AG148" s="94" t="n"/>
      <c r="AH148" s="94" t="n"/>
      <c r="AI148" s="94" t="n"/>
      <c r="AJ148" s="94" t="n"/>
      <c r="AK148" s="94" t="n"/>
      <c r="AL148" s="94" t="n"/>
      <c r="AM148" s="94" t="n"/>
      <c r="AN148" s="94" t="n"/>
      <c r="AO148" s="94" t="n"/>
      <c r="AP148" s="94" t="n"/>
      <c r="AQ148" s="94" t="n"/>
      <c r="AR148" s="94" t="n"/>
      <c r="AS148" s="94" t="n"/>
      <c r="AT148" s="94" t="n"/>
      <c r="AU148" s="94" t="n"/>
      <c r="AV148" s="94" t="n"/>
      <c r="AW148" s="94" t="n"/>
      <c r="AX148" s="94" t="n"/>
      <c r="AY148" s="94" t="n"/>
      <c r="AZ148" s="94" t="n"/>
      <c r="BA148" s="94" t="n"/>
      <c r="BB148" s="94" t="n"/>
      <c r="BC148" s="94" t="n"/>
      <c r="BD148" s="94" t="n"/>
    </row>
    <row r="149" ht="15.75" customHeight="1" s="163">
      <c r="A149" s="94" t="n"/>
      <c r="B149" s="94" t="n"/>
      <c r="C149" s="94" t="n"/>
      <c r="D149" s="94" t="n"/>
      <c r="E149" s="94" t="n"/>
      <c r="F149" s="94" t="n"/>
      <c r="G149" s="94" t="n"/>
      <c r="H149" s="94" t="n"/>
      <c r="I149" s="94" t="n"/>
      <c r="J149" s="94" t="n"/>
      <c r="K149" s="94" t="n"/>
      <c r="L149" s="94" t="n"/>
      <c r="M149" s="94" t="n"/>
      <c r="N149" s="94" t="n"/>
      <c r="O149" s="94" t="n"/>
      <c r="P149" s="94" t="n"/>
      <c r="Q149" s="94" t="n"/>
      <c r="R149" s="94" t="n"/>
      <c r="S149" s="94" t="n"/>
      <c r="T149" s="94" t="n"/>
      <c r="U149" s="94" t="n"/>
      <c r="V149" s="94" t="n"/>
      <c r="W149" s="94" t="n"/>
      <c r="X149" s="94" t="n"/>
      <c r="Y149" s="94" t="n"/>
      <c r="Z149" s="94" t="n"/>
      <c r="AA149" s="94" t="n"/>
      <c r="AB149" s="94" t="n"/>
      <c r="AC149" s="94" t="n"/>
      <c r="AD149" s="94" t="n"/>
      <c r="AE149" s="94" t="n"/>
      <c r="AF149" s="94" t="n"/>
      <c r="AG149" s="94" t="n"/>
      <c r="AH149" s="94" t="n"/>
      <c r="AI149" s="94" t="n"/>
      <c r="AJ149" s="94" t="n"/>
      <c r="AK149" s="94" t="n"/>
      <c r="AL149" s="94" t="n"/>
      <c r="AM149" s="94" t="n"/>
      <c r="AN149" s="94" t="n"/>
      <c r="AO149" s="94" t="n"/>
      <c r="AP149" s="94" t="n"/>
      <c r="AQ149" s="94" t="n"/>
      <c r="AR149" s="94" t="n"/>
      <c r="AS149" s="94" t="n"/>
      <c r="AT149" s="94" t="n"/>
      <c r="AU149" s="94" t="n"/>
      <c r="AV149" s="94" t="n"/>
      <c r="AW149" s="94" t="n"/>
      <c r="AX149" s="94" t="n"/>
      <c r="AY149" s="94" t="n"/>
      <c r="AZ149" s="94" t="n"/>
      <c r="BA149" s="94" t="n"/>
      <c r="BB149" s="94" t="n"/>
      <c r="BC149" s="94" t="n"/>
      <c r="BD149" s="94" t="n"/>
    </row>
    <row r="150" ht="15.75" customHeight="1" s="163">
      <c r="A150" s="94" t="n"/>
      <c r="B150" s="94" t="n"/>
      <c r="C150" s="94" t="n"/>
      <c r="D150" s="94" t="n"/>
      <c r="E150" s="94" t="n"/>
      <c r="F150" s="94" t="n"/>
      <c r="G150" s="94" t="n"/>
      <c r="H150" s="94" t="n"/>
      <c r="I150" s="94" t="n"/>
      <c r="J150" s="94" t="n"/>
      <c r="K150" s="94" t="n"/>
      <c r="L150" s="94" t="n"/>
      <c r="M150" s="94" t="n"/>
      <c r="N150" s="94" t="n"/>
      <c r="O150" s="94" t="n"/>
      <c r="P150" s="94" t="n"/>
      <c r="Q150" s="94" t="n"/>
      <c r="R150" s="94" t="n"/>
      <c r="S150" s="94" t="n"/>
      <c r="T150" s="94" t="n"/>
      <c r="U150" s="94" t="n"/>
      <c r="V150" s="94" t="n"/>
      <c r="W150" s="94" t="n"/>
      <c r="X150" s="94" t="n"/>
      <c r="Y150" s="94" t="n"/>
      <c r="Z150" s="94" t="n"/>
      <c r="AA150" s="94" t="n"/>
      <c r="AB150" s="94" t="n"/>
      <c r="AC150" s="94" t="n"/>
      <c r="AD150" s="94" t="n"/>
      <c r="AE150" s="94" t="n"/>
      <c r="AF150" s="94" t="n"/>
      <c r="AG150" s="94" t="n"/>
      <c r="AH150" s="94" t="n"/>
      <c r="AI150" s="94" t="n"/>
      <c r="AJ150" s="94" t="n"/>
      <c r="AK150" s="94" t="n"/>
      <c r="AL150" s="94" t="n"/>
      <c r="AM150" s="94" t="n"/>
      <c r="AN150" s="94" t="n"/>
      <c r="AO150" s="94" t="n"/>
      <c r="AP150" s="94" t="n"/>
      <c r="AQ150" s="94" t="n"/>
      <c r="AR150" s="94" t="n"/>
      <c r="AS150" s="94" t="n"/>
      <c r="AT150" s="94" t="n"/>
      <c r="AU150" s="94" t="n"/>
      <c r="AV150" s="94" t="n"/>
      <c r="AW150" s="94" t="n"/>
      <c r="AX150" s="94" t="n"/>
      <c r="AY150" s="94" t="n"/>
      <c r="AZ150" s="94" t="n"/>
      <c r="BA150" s="94" t="n"/>
      <c r="BB150" s="94" t="n"/>
      <c r="BC150" s="94" t="n"/>
      <c r="BD150" s="94" t="n"/>
    </row>
    <row r="151" ht="15.75" customHeight="1" s="163">
      <c r="A151" s="94" t="n"/>
      <c r="B151" s="94" t="n"/>
      <c r="C151" s="94" t="n"/>
      <c r="D151" s="94" t="n"/>
      <c r="E151" s="94" t="n"/>
      <c r="F151" s="94" t="n"/>
      <c r="G151" s="94" t="n"/>
      <c r="H151" s="94" t="n"/>
      <c r="I151" s="94" t="n"/>
      <c r="J151" s="94" t="n"/>
      <c r="K151" s="94" t="n"/>
      <c r="L151" s="94" t="n"/>
      <c r="M151" s="94" t="n"/>
      <c r="N151" s="94" t="n"/>
      <c r="O151" s="94" t="n"/>
      <c r="P151" s="94" t="n"/>
      <c r="Q151" s="94" t="n"/>
      <c r="R151" s="94" t="n"/>
      <c r="S151" s="94" t="n"/>
      <c r="T151" s="94" t="n"/>
      <c r="U151" s="94" t="n"/>
      <c r="V151" s="94" t="n"/>
      <c r="W151" s="94" t="n"/>
      <c r="X151" s="94" t="n"/>
      <c r="Y151" s="94" t="n"/>
      <c r="Z151" s="94" t="n"/>
      <c r="AA151" s="94" t="n"/>
      <c r="AB151" s="94" t="n"/>
      <c r="AC151" s="94" t="n"/>
      <c r="AD151" s="94" t="n"/>
      <c r="AE151" s="94" t="n"/>
      <c r="AF151" s="94" t="n"/>
      <c r="AG151" s="94" t="n"/>
      <c r="AH151" s="94" t="n"/>
      <c r="AI151" s="94" t="n"/>
      <c r="AJ151" s="94" t="n"/>
      <c r="AK151" s="94" t="n"/>
      <c r="AL151" s="94" t="n"/>
      <c r="AM151" s="94" t="n"/>
      <c r="AN151" s="94" t="n"/>
      <c r="AO151" s="94" t="n"/>
      <c r="AP151" s="94" t="n"/>
      <c r="AQ151" s="94" t="n"/>
      <c r="AR151" s="94" t="n"/>
      <c r="AS151" s="94" t="n"/>
      <c r="AT151" s="94" t="n"/>
      <c r="AU151" s="94" t="n"/>
      <c r="AV151" s="94" t="n"/>
      <c r="AW151" s="94" t="n"/>
      <c r="AX151" s="94" t="n"/>
      <c r="AY151" s="94" t="n"/>
      <c r="AZ151" s="94" t="n"/>
      <c r="BA151" s="94" t="n"/>
      <c r="BB151" s="94" t="n"/>
      <c r="BC151" s="94" t="n"/>
      <c r="BD151" s="94" t="n"/>
    </row>
    <row r="152" ht="15.75" customHeight="1" s="163">
      <c r="A152" s="94" t="n"/>
      <c r="B152" s="94" t="n"/>
      <c r="C152" s="94" t="n"/>
      <c r="D152" s="94" t="n"/>
      <c r="E152" s="94" t="n"/>
      <c r="F152" s="94" t="n"/>
      <c r="G152" s="94" t="n"/>
      <c r="H152" s="94" t="n"/>
      <c r="I152" s="94" t="n"/>
      <c r="J152" s="94" t="n"/>
      <c r="K152" s="94" t="n"/>
      <c r="L152" s="94" t="n"/>
      <c r="M152" s="94" t="n"/>
      <c r="N152" s="94" t="n"/>
      <c r="O152" s="94" t="n"/>
      <c r="P152" s="94" t="n"/>
      <c r="Q152" s="94" t="n"/>
      <c r="R152" s="94" t="n"/>
      <c r="S152" s="94" t="n"/>
      <c r="T152" s="94" t="n"/>
      <c r="U152" s="94" t="n"/>
      <c r="V152" s="94" t="n"/>
      <c r="W152" s="94" t="n"/>
      <c r="X152" s="94" t="n"/>
      <c r="Y152" s="94" t="n"/>
      <c r="Z152" s="94" t="n"/>
      <c r="AA152" s="94" t="n"/>
      <c r="AB152" s="94" t="n"/>
      <c r="AC152" s="94" t="n"/>
      <c r="AD152" s="94" t="n"/>
      <c r="AE152" s="94" t="n"/>
      <c r="AF152" s="94" t="n"/>
      <c r="AG152" s="94" t="n"/>
      <c r="AH152" s="94" t="n"/>
      <c r="AI152" s="94" t="n"/>
      <c r="AJ152" s="94" t="n"/>
      <c r="AK152" s="94" t="n"/>
      <c r="AL152" s="94" t="n"/>
      <c r="AM152" s="94" t="n"/>
      <c r="AN152" s="94" t="n"/>
      <c r="AO152" s="94" t="n"/>
      <c r="AP152" s="94" t="n"/>
      <c r="AQ152" s="94" t="n"/>
      <c r="AR152" s="94" t="n"/>
      <c r="AS152" s="94" t="n"/>
      <c r="AT152" s="94" t="n"/>
      <c r="AU152" s="94" t="n"/>
      <c r="AV152" s="94" t="n"/>
      <c r="AW152" s="94" t="n"/>
      <c r="AX152" s="94" t="n"/>
      <c r="AY152" s="94" t="n"/>
      <c r="AZ152" s="94" t="n"/>
      <c r="BA152" s="94" t="n"/>
      <c r="BB152" s="94" t="n"/>
      <c r="BC152" s="94" t="n"/>
      <c r="BD152" s="94" t="n"/>
    </row>
    <row r="153" ht="15.75" customHeight="1" s="163">
      <c r="A153" s="94" t="n"/>
      <c r="B153" s="94" t="n"/>
      <c r="C153" s="94" t="n"/>
      <c r="D153" s="94" t="n"/>
      <c r="E153" s="94" t="n"/>
      <c r="F153" s="94" t="n"/>
      <c r="G153" s="94" t="n"/>
      <c r="H153" s="94" t="n"/>
      <c r="I153" s="94" t="n"/>
      <c r="J153" s="94" t="n"/>
      <c r="K153" s="94" t="n"/>
      <c r="L153" s="94" t="n"/>
      <c r="M153" s="94" t="n"/>
      <c r="N153" s="94" t="n"/>
      <c r="O153" s="94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4" t="n"/>
      <c r="AB153" s="94" t="n"/>
      <c r="AC153" s="94" t="n"/>
      <c r="AD153" s="94" t="n"/>
      <c r="AE153" s="94" t="n"/>
      <c r="AF153" s="94" t="n"/>
      <c r="AG153" s="94" t="n"/>
      <c r="AH153" s="94" t="n"/>
      <c r="AI153" s="94" t="n"/>
      <c r="AJ153" s="94" t="n"/>
      <c r="AK153" s="94" t="n"/>
      <c r="AL153" s="94" t="n"/>
      <c r="AM153" s="94" t="n"/>
      <c r="AN153" s="94" t="n"/>
      <c r="AO153" s="94" t="n"/>
      <c r="AP153" s="94" t="n"/>
      <c r="AQ153" s="94" t="n"/>
      <c r="AR153" s="94" t="n"/>
      <c r="AS153" s="94" t="n"/>
      <c r="AT153" s="94" t="n"/>
      <c r="AU153" s="94" t="n"/>
      <c r="AV153" s="94" t="n"/>
      <c r="AW153" s="94" t="n"/>
      <c r="AX153" s="94" t="n"/>
      <c r="AY153" s="94" t="n"/>
      <c r="AZ153" s="94" t="n"/>
      <c r="BA153" s="94" t="n"/>
      <c r="BB153" s="94" t="n"/>
      <c r="BC153" s="94" t="n"/>
      <c r="BD153" s="94" t="n"/>
    </row>
    <row r="154" ht="15.75" customHeight="1" s="163">
      <c r="A154" s="94" t="n"/>
      <c r="B154" s="94" t="n"/>
      <c r="C154" s="94" t="n"/>
      <c r="D154" s="94" t="n"/>
      <c r="E154" s="94" t="n"/>
      <c r="F154" s="94" t="n"/>
      <c r="G154" s="94" t="n"/>
      <c r="H154" s="94" t="n"/>
      <c r="I154" s="94" t="n"/>
      <c r="J154" s="94" t="n"/>
      <c r="K154" s="94" t="n"/>
      <c r="L154" s="94" t="n"/>
      <c r="M154" s="94" t="n"/>
      <c r="N154" s="94" t="n"/>
      <c r="O154" s="94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4" t="n"/>
      <c r="AB154" s="94" t="n"/>
      <c r="AC154" s="94" t="n"/>
      <c r="AD154" s="94" t="n"/>
      <c r="AE154" s="94" t="n"/>
      <c r="AF154" s="94" t="n"/>
      <c r="AG154" s="94" t="n"/>
      <c r="AH154" s="94" t="n"/>
      <c r="AI154" s="94" t="n"/>
      <c r="AJ154" s="94" t="n"/>
      <c r="AK154" s="94" t="n"/>
      <c r="AL154" s="94" t="n"/>
      <c r="AM154" s="94" t="n"/>
      <c r="AN154" s="94" t="n"/>
      <c r="AO154" s="94" t="n"/>
      <c r="AP154" s="94" t="n"/>
      <c r="AQ154" s="94" t="n"/>
      <c r="AR154" s="94" t="n"/>
      <c r="AS154" s="94" t="n"/>
      <c r="AT154" s="94" t="n"/>
      <c r="AU154" s="94" t="n"/>
      <c r="AV154" s="94" t="n"/>
      <c r="AW154" s="94" t="n"/>
      <c r="AX154" s="94" t="n"/>
      <c r="AY154" s="94" t="n"/>
      <c r="AZ154" s="94" t="n"/>
      <c r="BA154" s="94" t="n"/>
      <c r="BB154" s="94" t="n"/>
      <c r="BC154" s="94" t="n"/>
      <c r="BD154" s="94" t="n"/>
    </row>
    <row r="155" ht="15.75" customHeight="1" s="163">
      <c r="A155" s="94" t="n"/>
      <c r="B155" s="94" t="n"/>
      <c r="C155" s="94" t="n"/>
      <c r="D155" s="94" t="n"/>
      <c r="E155" s="94" t="n"/>
      <c r="F155" s="94" t="n"/>
      <c r="G155" s="94" t="n"/>
      <c r="H155" s="94" t="n"/>
      <c r="I155" s="94" t="n"/>
      <c r="J155" s="94" t="n"/>
      <c r="K155" s="94" t="n"/>
      <c r="L155" s="94" t="n"/>
      <c r="M155" s="94" t="n"/>
      <c r="N155" s="94" t="n"/>
      <c r="O155" s="94" t="n"/>
      <c r="P155" s="94" t="n"/>
      <c r="Q155" s="94" t="n"/>
      <c r="R155" s="94" t="n"/>
      <c r="S155" s="94" t="n"/>
      <c r="T155" s="94" t="n"/>
      <c r="U155" s="94" t="n"/>
      <c r="V155" s="94" t="n"/>
      <c r="W155" s="94" t="n"/>
      <c r="X155" s="94" t="n"/>
      <c r="Y155" s="94" t="n"/>
      <c r="Z155" s="94" t="n"/>
      <c r="AA155" s="94" t="n"/>
      <c r="AB155" s="94" t="n"/>
      <c r="AC155" s="94" t="n"/>
      <c r="AD155" s="94" t="n"/>
      <c r="AE155" s="94" t="n"/>
      <c r="AF155" s="94" t="n"/>
      <c r="AG155" s="94" t="n"/>
      <c r="AH155" s="94" t="n"/>
      <c r="AI155" s="94" t="n"/>
      <c r="AJ155" s="94" t="n"/>
      <c r="AK155" s="94" t="n"/>
      <c r="AL155" s="94" t="n"/>
      <c r="AM155" s="94" t="n"/>
      <c r="AN155" s="94" t="n"/>
      <c r="AO155" s="94" t="n"/>
      <c r="AP155" s="94" t="n"/>
      <c r="AQ155" s="94" t="n"/>
      <c r="AR155" s="94" t="n"/>
      <c r="AS155" s="94" t="n"/>
      <c r="AT155" s="94" t="n"/>
      <c r="AU155" s="94" t="n"/>
      <c r="AV155" s="94" t="n"/>
      <c r="AW155" s="94" t="n"/>
      <c r="AX155" s="94" t="n"/>
      <c r="AY155" s="94" t="n"/>
      <c r="AZ155" s="94" t="n"/>
      <c r="BA155" s="94" t="n"/>
      <c r="BB155" s="94" t="n"/>
      <c r="BC155" s="94" t="n"/>
      <c r="BD155" s="94" t="n"/>
    </row>
    <row r="156" ht="15.75" customHeight="1" s="163">
      <c r="A156" s="94" t="n"/>
      <c r="B156" s="94" t="n"/>
      <c r="C156" s="94" t="n"/>
      <c r="D156" s="94" t="n"/>
      <c r="E156" s="94" t="n"/>
      <c r="F156" s="94" t="n"/>
      <c r="G156" s="94" t="n"/>
      <c r="H156" s="94" t="n"/>
      <c r="I156" s="94" t="n"/>
      <c r="J156" s="94" t="n"/>
      <c r="K156" s="94" t="n"/>
      <c r="L156" s="94" t="n"/>
      <c r="M156" s="94" t="n"/>
      <c r="N156" s="94" t="n"/>
      <c r="O156" s="94" t="n"/>
      <c r="P156" s="94" t="n"/>
      <c r="Q156" s="94" t="n"/>
      <c r="R156" s="94" t="n"/>
      <c r="S156" s="94" t="n"/>
      <c r="T156" s="94" t="n"/>
      <c r="U156" s="94" t="n"/>
      <c r="V156" s="94" t="n"/>
      <c r="W156" s="94" t="n"/>
      <c r="X156" s="94" t="n"/>
      <c r="Y156" s="94" t="n"/>
      <c r="Z156" s="94" t="n"/>
      <c r="AA156" s="94" t="n"/>
      <c r="AB156" s="94" t="n"/>
      <c r="AC156" s="94" t="n"/>
      <c r="AD156" s="94" t="n"/>
      <c r="AE156" s="94" t="n"/>
      <c r="AF156" s="94" t="n"/>
      <c r="AG156" s="94" t="n"/>
      <c r="AH156" s="94" t="n"/>
      <c r="AI156" s="94" t="n"/>
      <c r="AJ156" s="94" t="n"/>
      <c r="AK156" s="94" t="n"/>
      <c r="AL156" s="94" t="n"/>
      <c r="AM156" s="94" t="n"/>
      <c r="AN156" s="94" t="n"/>
      <c r="AO156" s="94" t="n"/>
      <c r="AP156" s="94" t="n"/>
      <c r="AQ156" s="94" t="n"/>
      <c r="AR156" s="94" t="n"/>
      <c r="AS156" s="94" t="n"/>
      <c r="AT156" s="94" t="n"/>
      <c r="AU156" s="94" t="n"/>
      <c r="AV156" s="94" t="n"/>
      <c r="AW156" s="94" t="n"/>
      <c r="AX156" s="94" t="n"/>
      <c r="AY156" s="94" t="n"/>
      <c r="AZ156" s="94" t="n"/>
      <c r="BA156" s="94" t="n"/>
      <c r="BB156" s="94" t="n"/>
      <c r="BC156" s="94" t="n"/>
      <c r="BD156" s="94" t="n"/>
    </row>
    <row r="157" ht="15.75" customHeight="1" s="163">
      <c r="A157" s="94" t="n"/>
      <c r="B157" s="94" t="n"/>
      <c r="C157" s="94" t="n"/>
      <c r="D157" s="94" t="n"/>
      <c r="E157" s="94" t="n"/>
      <c r="F157" s="94" t="n"/>
      <c r="G157" s="94" t="n"/>
      <c r="H157" s="94" t="n"/>
      <c r="I157" s="94" t="n"/>
      <c r="J157" s="94" t="n"/>
      <c r="K157" s="94" t="n"/>
      <c r="L157" s="94" t="n"/>
      <c r="M157" s="94" t="n"/>
      <c r="N157" s="94" t="n"/>
      <c r="O157" s="94" t="n"/>
      <c r="P157" s="94" t="n"/>
      <c r="Q157" s="94" t="n"/>
      <c r="R157" s="94" t="n"/>
      <c r="S157" s="94" t="n"/>
      <c r="T157" s="94" t="n"/>
      <c r="U157" s="94" t="n"/>
      <c r="V157" s="94" t="n"/>
      <c r="W157" s="94" t="n"/>
      <c r="X157" s="94" t="n"/>
      <c r="Y157" s="94" t="n"/>
      <c r="Z157" s="94" t="n"/>
      <c r="AA157" s="94" t="n"/>
      <c r="AB157" s="94" t="n"/>
      <c r="AC157" s="94" t="n"/>
      <c r="AD157" s="94" t="n"/>
      <c r="AE157" s="94" t="n"/>
      <c r="AF157" s="94" t="n"/>
      <c r="AG157" s="94" t="n"/>
      <c r="AH157" s="94" t="n"/>
      <c r="AI157" s="94" t="n"/>
      <c r="AJ157" s="94" t="n"/>
      <c r="AK157" s="94" t="n"/>
      <c r="AL157" s="94" t="n"/>
      <c r="AM157" s="94" t="n"/>
      <c r="AN157" s="94" t="n"/>
      <c r="AO157" s="94" t="n"/>
      <c r="AP157" s="94" t="n"/>
      <c r="AQ157" s="94" t="n"/>
      <c r="AR157" s="94" t="n"/>
      <c r="AS157" s="94" t="n"/>
      <c r="AT157" s="94" t="n"/>
      <c r="AU157" s="94" t="n"/>
      <c r="AV157" s="94" t="n"/>
      <c r="AW157" s="94" t="n"/>
      <c r="AX157" s="94" t="n"/>
      <c r="AY157" s="94" t="n"/>
      <c r="AZ157" s="94" t="n"/>
      <c r="BA157" s="94" t="n"/>
      <c r="BB157" s="94" t="n"/>
      <c r="BC157" s="94" t="n"/>
      <c r="BD157" s="94" t="n"/>
    </row>
    <row r="158" ht="15.75" customHeight="1" s="163">
      <c r="A158" s="94" t="n"/>
      <c r="B158" s="94" t="n"/>
      <c r="C158" s="94" t="n"/>
      <c r="D158" s="94" t="n"/>
      <c r="E158" s="94" t="n"/>
      <c r="F158" s="94" t="n"/>
      <c r="G158" s="94" t="n"/>
      <c r="H158" s="94" t="n"/>
      <c r="I158" s="94" t="n"/>
      <c r="J158" s="94" t="n"/>
      <c r="K158" s="94" t="n"/>
      <c r="L158" s="94" t="n"/>
      <c r="M158" s="94" t="n"/>
      <c r="N158" s="94" t="n"/>
      <c r="O158" s="94" t="n"/>
      <c r="P158" s="94" t="n"/>
      <c r="Q158" s="94" t="n"/>
      <c r="R158" s="94" t="n"/>
      <c r="S158" s="94" t="n"/>
      <c r="T158" s="94" t="n"/>
      <c r="U158" s="94" t="n"/>
      <c r="V158" s="94" t="n"/>
      <c r="W158" s="94" t="n"/>
      <c r="X158" s="94" t="n"/>
      <c r="Y158" s="94" t="n"/>
      <c r="Z158" s="94" t="n"/>
      <c r="AA158" s="94" t="n"/>
      <c r="AB158" s="94" t="n"/>
      <c r="AC158" s="94" t="n"/>
      <c r="AD158" s="94" t="n"/>
      <c r="AE158" s="94" t="n"/>
      <c r="AF158" s="94" t="n"/>
      <c r="AG158" s="94" t="n"/>
      <c r="AH158" s="94" t="n"/>
      <c r="AI158" s="94" t="n"/>
      <c r="AJ158" s="94" t="n"/>
      <c r="AK158" s="94" t="n"/>
      <c r="AL158" s="94" t="n"/>
      <c r="AM158" s="94" t="n"/>
      <c r="AN158" s="94" t="n"/>
      <c r="AO158" s="94" t="n"/>
      <c r="AP158" s="94" t="n"/>
      <c r="AQ158" s="94" t="n"/>
      <c r="AR158" s="94" t="n"/>
      <c r="AS158" s="94" t="n"/>
      <c r="AT158" s="94" t="n"/>
      <c r="AU158" s="94" t="n"/>
      <c r="AV158" s="94" t="n"/>
      <c r="AW158" s="94" t="n"/>
      <c r="AX158" s="94" t="n"/>
      <c r="AY158" s="94" t="n"/>
      <c r="AZ158" s="94" t="n"/>
      <c r="BA158" s="94" t="n"/>
      <c r="BB158" s="94" t="n"/>
      <c r="BC158" s="94" t="n"/>
      <c r="BD158" s="94" t="n"/>
    </row>
    <row r="159" ht="15.75" customHeight="1" s="163">
      <c r="A159" s="94" t="n"/>
      <c r="B159" s="94" t="n"/>
      <c r="C159" s="94" t="n"/>
      <c r="D159" s="94" t="n"/>
      <c r="E159" s="94" t="n"/>
      <c r="F159" s="94" t="n"/>
      <c r="G159" s="94" t="n"/>
      <c r="H159" s="94" t="n"/>
      <c r="I159" s="94" t="n"/>
      <c r="J159" s="94" t="n"/>
      <c r="K159" s="94" t="n"/>
      <c r="L159" s="94" t="n"/>
      <c r="M159" s="94" t="n"/>
      <c r="N159" s="94" t="n"/>
      <c r="O159" s="94" t="n"/>
      <c r="P159" s="94" t="n"/>
      <c r="Q159" s="94" t="n"/>
      <c r="R159" s="94" t="n"/>
      <c r="S159" s="94" t="n"/>
      <c r="T159" s="94" t="n"/>
      <c r="U159" s="94" t="n"/>
      <c r="V159" s="94" t="n"/>
      <c r="W159" s="94" t="n"/>
      <c r="X159" s="94" t="n"/>
      <c r="Y159" s="94" t="n"/>
      <c r="Z159" s="94" t="n"/>
      <c r="AA159" s="94" t="n"/>
      <c r="AB159" s="94" t="n"/>
      <c r="AC159" s="94" t="n"/>
      <c r="AD159" s="94" t="n"/>
      <c r="AE159" s="94" t="n"/>
      <c r="AF159" s="94" t="n"/>
      <c r="AG159" s="94" t="n"/>
      <c r="AH159" s="94" t="n"/>
      <c r="AI159" s="94" t="n"/>
      <c r="AJ159" s="94" t="n"/>
      <c r="AK159" s="94" t="n"/>
      <c r="AL159" s="94" t="n"/>
      <c r="AM159" s="94" t="n"/>
      <c r="AN159" s="94" t="n"/>
      <c r="AO159" s="94" t="n"/>
      <c r="AP159" s="94" t="n"/>
      <c r="AQ159" s="94" t="n"/>
      <c r="AR159" s="94" t="n"/>
      <c r="AS159" s="94" t="n"/>
      <c r="AT159" s="94" t="n"/>
      <c r="AU159" s="94" t="n"/>
      <c r="AV159" s="94" t="n"/>
      <c r="AW159" s="94" t="n"/>
      <c r="AX159" s="94" t="n"/>
      <c r="AY159" s="94" t="n"/>
      <c r="AZ159" s="94" t="n"/>
      <c r="BA159" s="94" t="n"/>
      <c r="BB159" s="94" t="n"/>
      <c r="BC159" s="94" t="n"/>
      <c r="BD159" s="94" t="n"/>
    </row>
    <row r="160" ht="15.75" customHeight="1" s="163">
      <c r="A160" s="94" t="n"/>
      <c r="B160" s="94" t="n"/>
      <c r="C160" s="94" t="n"/>
      <c r="D160" s="94" t="n"/>
      <c r="E160" s="94" t="n"/>
      <c r="F160" s="94" t="n"/>
      <c r="G160" s="94" t="n"/>
      <c r="H160" s="94" t="n"/>
      <c r="I160" s="94" t="n"/>
      <c r="J160" s="94" t="n"/>
      <c r="K160" s="94" t="n"/>
      <c r="L160" s="94" t="n"/>
      <c r="M160" s="94" t="n"/>
      <c r="N160" s="94" t="n"/>
      <c r="O160" s="94" t="n"/>
      <c r="P160" s="94" t="n"/>
      <c r="Q160" s="94" t="n"/>
      <c r="R160" s="94" t="n"/>
      <c r="S160" s="94" t="n"/>
      <c r="T160" s="94" t="n"/>
      <c r="U160" s="94" t="n"/>
      <c r="V160" s="94" t="n"/>
      <c r="W160" s="94" t="n"/>
      <c r="X160" s="94" t="n"/>
      <c r="Y160" s="94" t="n"/>
      <c r="Z160" s="94" t="n"/>
      <c r="AA160" s="94" t="n"/>
      <c r="AB160" s="94" t="n"/>
      <c r="AC160" s="94" t="n"/>
      <c r="AD160" s="94" t="n"/>
      <c r="AE160" s="94" t="n"/>
      <c r="AF160" s="94" t="n"/>
      <c r="AG160" s="94" t="n"/>
      <c r="AH160" s="94" t="n"/>
      <c r="AI160" s="94" t="n"/>
      <c r="AJ160" s="94" t="n"/>
      <c r="AK160" s="94" t="n"/>
      <c r="AL160" s="94" t="n"/>
      <c r="AM160" s="94" t="n"/>
      <c r="AN160" s="94" t="n"/>
      <c r="AO160" s="94" t="n"/>
      <c r="AP160" s="94" t="n"/>
      <c r="AQ160" s="94" t="n"/>
      <c r="AR160" s="94" t="n"/>
      <c r="AS160" s="94" t="n"/>
      <c r="AT160" s="94" t="n"/>
      <c r="AU160" s="94" t="n"/>
      <c r="AV160" s="94" t="n"/>
      <c r="AW160" s="94" t="n"/>
      <c r="AX160" s="94" t="n"/>
      <c r="AY160" s="94" t="n"/>
      <c r="AZ160" s="94" t="n"/>
      <c r="BA160" s="94" t="n"/>
      <c r="BB160" s="94" t="n"/>
      <c r="BC160" s="94" t="n"/>
      <c r="BD160" s="94" t="n"/>
    </row>
    <row r="161" ht="15.75" customHeight="1" s="163">
      <c r="A161" s="94" t="n"/>
      <c r="B161" s="94" t="n"/>
      <c r="C161" s="94" t="n"/>
      <c r="D161" s="94" t="n"/>
      <c r="E161" s="94" t="n"/>
      <c r="F161" s="94" t="n"/>
      <c r="G161" s="94" t="n"/>
      <c r="H161" s="94" t="n"/>
      <c r="I161" s="94" t="n"/>
      <c r="J161" s="94" t="n"/>
      <c r="K161" s="94" t="n"/>
      <c r="L161" s="94" t="n"/>
      <c r="M161" s="94" t="n"/>
      <c r="N161" s="94" t="n"/>
      <c r="O161" s="94" t="n"/>
      <c r="P161" s="94" t="n"/>
      <c r="Q161" s="94" t="n"/>
      <c r="R161" s="94" t="n"/>
      <c r="S161" s="94" t="n"/>
      <c r="T161" s="94" t="n"/>
      <c r="U161" s="94" t="n"/>
      <c r="V161" s="94" t="n"/>
      <c r="W161" s="94" t="n"/>
      <c r="X161" s="94" t="n"/>
      <c r="Y161" s="94" t="n"/>
      <c r="Z161" s="94" t="n"/>
      <c r="AA161" s="94" t="n"/>
      <c r="AB161" s="94" t="n"/>
      <c r="AC161" s="94" t="n"/>
      <c r="AD161" s="94" t="n"/>
      <c r="AE161" s="94" t="n"/>
      <c r="AF161" s="94" t="n"/>
      <c r="AG161" s="94" t="n"/>
      <c r="AH161" s="94" t="n"/>
      <c r="AI161" s="94" t="n"/>
      <c r="AJ161" s="94" t="n"/>
      <c r="AK161" s="94" t="n"/>
      <c r="AL161" s="94" t="n"/>
      <c r="AM161" s="94" t="n"/>
      <c r="AN161" s="94" t="n"/>
      <c r="AO161" s="94" t="n"/>
      <c r="AP161" s="94" t="n"/>
      <c r="AQ161" s="94" t="n"/>
      <c r="AR161" s="94" t="n"/>
      <c r="AS161" s="94" t="n"/>
      <c r="AT161" s="94" t="n"/>
      <c r="AU161" s="94" t="n"/>
      <c r="AV161" s="94" t="n"/>
      <c r="AW161" s="94" t="n"/>
      <c r="AX161" s="94" t="n"/>
      <c r="AY161" s="94" t="n"/>
      <c r="AZ161" s="94" t="n"/>
      <c r="BA161" s="94" t="n"/>
      <c r="BB161" s="94" t="n"/>
      <c r="BC161" s="94" t="n"/>
      <c r="BD161" s="94" t="n"/>
    </row>
    <row r="162" ht="15.75" customHeight="1" s="163">
      <c r="A162" s="94" t="n"/>
      <c r="B162" s="94" t="n"/>
      <c r="C162" s="94" t="n"/>
      <c r="D162" s="94" t="n"/>
      <c r="E162" s="94" t="n"/>
      <c r="F162" s="94" t="n"/>
      <c r="G162" s="94" t="n"/>
      <c r="H162" s="94" t="n"/>
      <c r="I162" s="94" t="n"/>
      <c r="J162" s="94" t="n"/>
      <c r="K162" s="94" t="n"/>
      <c r="L162" s="94" t="n"/>
      <c r="M162" s="94" t="n"/>
      <c r="N162" s="94" t="n"/>
      <c r="O162" s="94" t="n"/>
      <c r="P162" s="94" t="n"/>
      <c r="Q162" s="94" t="n"/>
      <c r="R162" s="94" t="n"/>
      <c r="S162" s="94" t="n"/>
      <c r="T162" s="94" t="n"/>
      <c r="U162" s="94" t="n"/>
      <c r="V162" s="94" t="n"/>
      <c r="W162" s="94" t="n"/>
      <c r="X162" s="94" t="n"/>
      <c r="Y162" s="94" t="n"/>
      <c r="Z162" s="94" t="n"/>
      <c r="AA162" s="94" t="n"/>
      <c r="AB162" s="94" t="n"/>
      <c r="AC162" s="94" t="n"/>
      <c r="AD162" s="94" t="n"/>
      <c r="AE162" s="94" t="n"/>
      <c r="AF162" s="94" t="n"/>
      <c r="AG162" s="94" t="n"/>
      <c r="AH162" s="94" t="n"/>
      <c r="AI162" s="94" t="n"/>
      <c r="AJ162" s="94" t="n"/>
      <c r="AK162" s="94" t="n"/>
      <c r="AL162" s="94" t="n"/>
      <c r="AM162" s="94" t="n"/>
      <c r="AN162" s="94" t="n"/>
      <c r="AO162" s="94" t="n"/>
      <c r="AP162" s="94" t="n"/>
      <c r="AQ162" s="94" t="n"/>
      <c r="AR162" s="94" t="n"/>
      <c r="AS162" s="94" t="n"/>
      <c r="AT162" s="94" t="n"/>
      <c r="AU162" s="94" t="n"/>
      <c r="AV162" s="94" t="n"/>
      <c r="AW162" s="94" t="n"/>
      <c r="AX162" s="94" t="n"/>
      <c r="AY162" s="94" t="n"/>
      <c r="AZ162" s="94" t="n"/>
      <c r="BA162" s="94" t="n"/>
      <c r="BB162" s="94" t="n"/>
      <c r="BC162" s="94" t="n"/>
      <c r="BD162" s="94" t="n"/>
    </row>
    <row r="163" ht="15.75" customHeight="1" s="163">
      <c r="A163" s="94" t="n"/>
      <c r="B163" s="94" t="n"/>
      <c r="C163" s="94" t="n"/>
      <c r="D163" s="94" t="n"/>
      <c r="E163" s="94" t="n"/>
      <c r="F163" s="94" t="n"/>
      <c r="G163" s="94" t="n"/>
      <c r="H163" s="94" t="n"/>
      <c r="I163" s="94" t="n"/>
      <c r="J163" s="94" t="n"/>
      <c r="K163" s="94" t="n"/>
      <c r="L163" s="94" t="n"/>
      <c r="M163" s="94" t="n"/>
      <c r="N163" s="94" t="n"/>
      <c r="O163" s="94" t="n"/>
      <c r="P163" s="94" t="n"/>
      <c r="Q163" s="94" t="n"/>
      <c r="R163" s="94" t="n"/>
      <c r="S163" s="94" t="n"/>
      <c r="T163" s="94" t="n"/>
      <c r="U163" s="94" t="n"/>
      <c r="V163" s="94" t="n"/>
      <c r="W163" s="94" t="n"/>
      <c r="X163" s="94" t="n"/>
      <c r="Y163" s="94" t="n"/>
      <c r="Z163" s="94" t="n"/>
      <c r="AA163" s="94" t="n"/>
      <c r="AB163" s="94" t="n"/>
      <c r="AC163" s="94" t="n"/>
      <c r="AD163" s="94" t="n"/>
      <c r="AE163" s="94" t="n"/>
      <c r="AF163" s="94" t="n"/>
      <c r="AG163" s="94" t="n"/>
      <c r="AH163" s="94" t="n"/>
      <c r="AI163" s="94" t="n"/>
      <c r="AJ163" s="94" t="n"/>
      <c r="AK163" s="94" t="n"/>
      <c r="AL163" s="94" t="n"/>
      <c r="AM163" s="94" t="n"/>
      <c r="AN163" s="94" t="n"/>
      <c r="AO163" s="94" t="n"/>
      <c r="AP163" s="94" t="n"/>
      <c r="AQ163" s="94" t="n"/>
      <c r="AR163" s="94" t="n"/>
      <c r="AS163" s="94" t="n"/>
      <c r="AT163" s="94" t="n"/>
      <c r="AU163" s="94" t="n"/>
      <c r="AV163" s="94" t="n"/>
      <c r="AW163" s="94" t="n"/>
      <c r="AX163" s="94" t="n"/>
      <c r="AY163" s="94" t="n"/>
      <c r="AZ163" s="94" t="n"/>
      <c r="BA163" s="94" t="n"/>
      <c r="BB163" s="94" t="n"/>
      <c r="BC163" s="94" t="n"/>
      <c r="BD163" s="94" t="n"/>
    </row>
    <row r="164" ht="15.75" customHeight="1" s="163">
      <c r="A164" s="94" t="n"/>
      <c r="B164" s="94" t="n"/>
      <c r="C164" s="94" t="n"/>
      <c r="D164" s="94" t="n"/>
      <c r="E164" s="94" t="n"/>
      <c r="F164" s="94" t="n"/>
      <c r="G164" s="94" t="n"/>
      <c r="H164" s="94" t="n"/>
      <c r="I164" s="94" t="n"/>
      <c r="J164" s="94" t="n"/>
      <c r="K164" s="94" t="n"/>
      <c r="L164" s="94" t="n"/>
      <c r="M164" s="94" t="n"/>
      <c r="N164" s="94" t="n"/>
      <c r="O164" s="94" t="n"/>
      <c r="P164" s="94" t="n"/>
      <c r="Q164" s="94" t="n"/>
      <c r="R164" s="94" t="n"/>
      <c r="S164" s="94" t="n"/>
      <c r="T164" s="94" t="n"/>
      <c r="U164" s="94" t="n"/>
      <c r="V164" s="94" t="n"/>
      <c r="W164" s="94" t="n"/>
      <c r="X164" s="94" t="n"/>
      <c r="Y164" s="94" t="n"/>
      <c r="Z164" s="94" t="n"/>
      <c r="AA164" s="94" t="n"/>
      <c r="AB164" s="94" t="n"/>
      <c r="AC164" s="94" t="n"/>
      <c r="AD164" s="94" t="n"/>
      <c r="AE164" s="94" t="n"/>
      <c r="AF164" s="94" t="n"/>
      <c r="AG164" s="94" t="n"/>
      <c r="AH164" s="94" t="n"/>
      <c r="AI164" s="94" t="n"/>
      <c r="AJ164" s="94" t="n"/>
      <c r="AK164" s="94" t="n"/>
      <c r="AL164" s="94" t="n"/>
      <c r="AM164" s="94" t="n"/>
      <c r="AN164" s="94" t="n"/>
      <c r="AO164" s="94" t="n"/>
      <c r="AP164" s="94" t="n"/>
      <c r="AQ164" s="94" t="n"/>
      <c r="AR164" s="94" t="n"/>
      <c r="AS164" s="94" t="n"/>
      <c r="AT164" s="94" t="n"/>
      <c r="AU164" s="94" t="n"/>
      <c r="AV164" s="94" t="n"/>
      <c r="AW164" s="94" t="n"/>
      <c r="AX164" s="94" t="n"/>
      <c r="AY164" s="94" t="n"/>
      <c r="AZ164" s="94" t="n"/>
      <c r="BA164" s="94" t="n"/>
      <c r="BB164" s="94" t="n"/>
      <c r="BC164" s="94" t="n"/>
      <c r="BD164" s="94" t="n"/>
    </row>
    <row r="165" ht="15.75" customHeight="1" s="163">
      <c r="A165" s="94" t="n"/>
      <c r="B165" s="94" t="n"/>
      <c r="C165" s="94" t="n"/>
      <c r="D165" s="94" t="n"/>
      <c r="E165" s="94" t="n"/>
      <c r="F165" s="94" t="n"/>
      <c r="G165" s="94" t="n"/>
      <c r="H165" s="94" t="n"/>
      <c r="I165" s="94" t="n"/>
      <c r="J165" s="94" t="n"/>
      <c r="K165" s="94" t="n"/>
      <c r="L165" s="94" t="n"/>
      <c r="M165" s="94" t="n"/>
      <c r="N165" s="94" t="n"/>
      <c r="O165" s="94" t="n"/>
      <c r="P165" s="94" t="n"/>
      <c r="Q165" s="94" t="n"/>
      <c r="R165" s="94" t="n"/>
      <c r="S165" s="94" t="n"/>
      <c r="T165" s="94" t="n"/>
      <c r="U165" s="94" t="n"/>
      <c r="V165" s="94" t="n"/>
      <c r="W165" s="94" t="n"/>
      <c r="X165" s="94" t="n"/>
      <c r="Y165" s="94" t="n"/>
      <c r="Z165" s="94" t="n"/>
      <c r="AA165" s="94" t="n"/>
      <c r="AB165" s="94" t="n"/>
      <c r="AC165" s="94" t="n"/>
      <c r="AD165" s="94" t="n"/>
      <c r="AE165" s="94" t="n"/>
      <c r="AF165" s="94" t="n"/>
      <c r="AG165" s="94" t="n"/>
      <c r="AH165" s="94" t="n"/>
      <c r="AI165" s="94" t="n"/>
      <c r="AJ165" s="94" t="n"/>
      <c r="AK165" s="94" t="n"/>
      <c r="AL165" s="94" t="n"/>
      <c r="AM165" s="94" t="n"/>
      <c r="AN165" s="94" t="n"/>
      <c r="AO165" s="94" t="n"/>
      <c r="AP165" s="94" t="n"/>
      <c r="AQ165" s="94" t="n"/>
      <c r="AR165" s="94" t="n"/>
      <c r="AS165" s="94" t="n"/>
      <c r="AT165" s="94" t="n"/>
      <c r="AU165" s="94" t="n"/>
      <c r="AV165" s="94" t="n"/>
      <c r="AW165" s="94" t="n"/>
      <c r="AX165" s="94" t="n"/>
      <c r="AY165" s="94" t="n"/>
      <c r="AZ165" s="94" t="n"/>
      <c r="BA165" s="94" t="n"/>
      <c r="BB165" s="94" t="n"/>
      <c r="BC165" s="94" t="n"/>
      <c r="BD165" s="94" t="n"/>
    </row>
    <row r="166" ht="15.75" customHeight="1" s="163">
      <c r="A166" s="94" t="n"/>
      <c r="B166" s="94" t="n"/>
      <c r="C166" s="94" t="n"/>
      <c r="D166" s="94" t="n"/>
      <c r="E166" s="94" t="n"/>
      <c r="F166" s="94" t="n"/>
      <c r="G166" s="94" t="n"/>
      <c r="H166" s="94" t="n"/>
      <c r="I166" s="94" t="n"/>
      <c r="J166" s="94" t="n"/>
      <c r="K166" s="94" t="n"/>
      <c r="L166" s="94" t="n"/>
      <c r="M166" s="94" t="n"/>
      <c r="N166" s="94" t="n"/>
      <c r="O166" s="94" t="n"/>
      <c r="P166" s="94" t="n"/>
      <c r="Q166" s="94" t="n"/>
      <c r="R166" s="94" t="n"/>
      <c r="S166" s="94" t="n"/>
      <c r="T166" s="94" t="n"/>
      <c r="U166" s="94" t="n"/>
      <c r="V166" s="94" t="n"/>
      <c r="W166" s="94" t="n"/>
      <c r="X166" s="94" t="n"/>
      <c r="Y166" s="94" t="n"/>
      <c r="Z166" s="94" t="n"/>
      <c r="AA166" s="94" t="n"/>
      <c r="AB166" s="94" t="n"/>
      <c r="AC166" s="94" t="n"/>
      <c r="AD166" s="94" t="n"/>
      <c r="AE166" s="94" t="n"/>
      <c r="AF166" s="94" t="n"/>
      <c r="AG166" s="94" t="n"/>
      <c r="AH166" s="94" t="n"/>
      <c r="AI166" s="94" t="n"/>
      <c r="AJ166" s="94" t="n"/>
      <c r="AK166" s="94" t="n"/>
      <c r="AL166" s="94" t="n"/>
      <c r="AM166" s="94" t="n"/>
      <c r="AN166" s="94" t="n"/>
      <c r="AO166" s="94" t="n"/>
      <c r="AP166" s="94" t="n"/>
      <c r="AQ166" s="94" t="n"/>
      <c r="AR166" s="94" t="n"/>
      <c r="AS166" s="94" t="n"/>
      <c r="AT166" s="94" t="n"/>
      <c r="AU166" s="94" t="n"/>
      <c r="AV166" s="94" t="n"/>
      <c r="AW166" s="94" t="n"/>
      <c r="AX166" s="94" t="n"/>
      <c r="AY166" s="94" t="n"/>
      <c r="AZ166" s="94" t="n"/>
      <c r="BA166" s="94" t="n"/>
      <c r="BB166" s="94" t="n"/>
      <c r="BC166" s="94" t="n"/>
      <c r="BD166" s="94" t="n"/>
    </row>
    <row r="167" ht="15.75" customHeight="1" s="163">
      <c r="A167" s="94" t="n"/>
      <c r="B167" s="94" t="n"/>
      <c r="C167" s="94" t="n"/>
      <c r="D167" s="94" t="n"/>
      <c r="E167" s="94" t="n"/>
      <c r="F167" s="94" t="n"/>
      <c r="G167" s="94" t="n"/>
      <c r="H167" s="94" t="n"/>
      <c r="I167" s="94" t="n"/>
      <c r="J167" s="94" t="n"/>
      <c r="K167" s="94" t="n"/>
      <c r="L167" s="94" t="n"/>
      <c r="M167" s="94" t="n"/>
      <c r="N167" s="94" t="n"/>
      <c r="O167" s="94" t="n"/>
      <c r="P167" s="94" t="n"/>
      <c r="Q167" s="94" t="n"/>
      <c r="R167" s="94" t="n"/>
      <c r="S167" s="94" t="n"/>
      <c r="T167" s="94" t="n"/>
      <c r="U167" s="94" t="n"/>
      <c r="V167" s="94" t="n"/>
      <c r="W167" s="94" t="n"/>
      <c r="X167" s="94" t="n"/>
      <c r="Y167" s="94" t="n"/>
      <c r="Z167" s="94" t="n"/>
      <c r="AA167" s="94" t="n"/>
      <c r="AB167" s="94" t="n"/>
      <c r="AC167" s="94" t="n"/>
      <c r="AD167" s="94" t="n"/>
      <c r="AE167" s="94" t="n"/>
      <c r="AF167" s="94" t="n"/>
      <c r="AG167" s="94" t="n"/>
      <c r="AH167" s="94" t="n"/>
      <c r="AI167" s="94" t="n"/>
      <c r="AJ167" s="94" t="n"/>
      <c r="AK167" s="94" t="n"/>
      <c r="AL167" s="94" t="n"/>
      <c r="AM167" s="94" t="n"/>
      <c r="AN167" s="94" t="n"/>
      <c r="AO167" s="94" t="n"/>
      <c r="AP167" s="94" t="n"/>
      <c r="AQ167" s="94" t="n"/>
      <c r="AR167" s="94" t="n"/>
      <c r="AS167" s="94" t="n"/>
      <c r="AT167" s="94" t="n"/>
      <c r="AU167" s="94" t="n"/>
      <c r="AV167" s="94" t="n"/>
      <c r="AW167" s="94" t="n"/>
      <c r="AX167" s="94" t="n"/>
      <c r="AY167" s="94" t="n"/>
      <c r="AZ167" s="94" t="n"/>
      <c r="BA167" s="94" t="n"/>
      <c r="BB167" s="94" t="n"/>
      <c r="BC167" s="94" t="n"/>
      <c r="BD167" s="94" t="n"/>
    </row>
    <row r="168" ht="15.75" customHeight="1" s="163">
      <c r="A168" s="94" t="n"/>
      <c r="B168" s="94" t="n"/>
      <c r="C168" s="94" t="n"/>
      <c r="D168" s="94" t="n"/>
      <c r="E168" s="94" t="n"/>
      <c r="F168" s="94" t="n"/>
      <c r="G168" s="94" t="n"/>
      <c r="H168" s="94" t="n"/>
      <c r="I168" s="94" t="n"/>
      <c r="J168" s="94" t="n"/>
      <c r="K168" s="94" t="n"/>
      <c r="L168" s="94" t="n"/>
      <c r="M168" s="94" t="n"/>
      <c r="N168" s="94" t="n"/>
      <c r="O168" s="94" t="n"/>
      <c r="P168" s="94" t="n"/>
      <c r="Q168" s="94" t="n"/>
      <c r="R168" s="94" t="n"/>
      <c r="S168" s="94" t="n"/>
      <c r="T168" s="94" t="n"/>
      <c r="U168" s="94" t="n"/>
      <c r="V168" s="94" t="n"/>
      <c r="W168" s="94" t="n"/>
      <c r="X168" s="94" t="n"/>
      <c r="Y168" s="94" t="n"/>
      <c r="Z168" s="94" t="n"/>
      <c r="AA168" s="94" t="n"/>
      <c r="AB168" s="94" t="n"/>
      <c r="AC168" s="94" t="n"/>
      <c r="AD168" s="94" t="n"/>
      <c r="AE168" s="94" t="n"/>
      <c r="AF168" s="94" t="n"/>
      <c r="AG168" s="94" t="n"/>
      <c r="AH168" s="94" t="n"/>
      <c r="AI168" s="94" t="n"/>
      <c r="AJ168" s="94" t="n"/>
      <c r="AK168" s="94" t="n"/>
      <c r="AL168" s="94" t="n"/>
      <c r="AM168" s="94" t="n"/>
      <c r="AN168" s="94" t="n"/>
      <c r="AO168" s="94" t="n"/>
      <c r="AP168" s="94" t="n"/>
      <c r="AQ168" s="94" t="n"/>
      <c r="AR168" s="94" t="n"/>
      <c r="AS168" s="94" t="n"/>
      <c r="AT168" s="94" t="n"/>
      <c r="AU168" s="94" t="n"/>
      <c r="AV168" s="94" t="n"/>
      <c r="AW168" s="94" t="n"/>
      <c r="AX168" s="94" t="n"/>
      <c r="AY168" s="94" t="n"/>
      <c r="AZ168" s="94" t="n"/>
      <c r="BA168" s="94" t="n"/>
      <c r="BB168" s="94" t="n"/>
      <c r="BC168" s="94" t="n"/>
      <c r="BD168" s="94" t="n"/>
    </row>
    <row r="169" ht="15.75" customHeight="1" s="163">
      <c r="A169" s="94" t="n"/>
      <c r="B169" s="94" t="n"/>
      <c r="C169" s="94" t="n"/>
      <c r="D169" s="94" t="n"/>
      <c r="E169" s="94" t="n"/>
      <c r="F169" s="94" t="n"/>
      <c r="G169" s="94" t="n"/>
      <c r="H169" s="94" t="n"/>
      <c r="I169" s="94" t="n"/>
      <c r="J169" s="94" t="n"/>
      <c r="K169" s="94" t="n"/>
      <c r="L169" s="94" t="n"/>
      <c r="M169" s="94" t="n"/>
      <c r="N169" s="94" t="n"/>
      <c r="O169" s="94" t="n"/>
      <c r="P169" s="94" t="n"/>
      <c r="Q169" s="94" t="n"/>
      <c r="R169" s="94" t="n"/>
      <c r="S169" s="94" t="n"/>
      <c r="T169" s="94" t="n"/>
      <c r="U169" s="94" t="n"/>
      <c r="V169" s="94" t="n"/>
      <c r="W169" s="94" t="n"/>
      <c r="X169" s="94" t="n"/>
      <c r="Y169" s="94" t="n"/>
      <c r="Z169" s="94" t="n"/>
      <c r="AA169" s="94" t="n"/>
      <c r="AB169" s="94" t="n"/>
      <c r="AC169" s="94" t="n"/>
      <c r="AD169" s="94" t="n"/>
      <c r="AE169" s="94" t="n"/>
      <c r="AF169" s="94" t="n"/>
      <c r="AG169" s="94" t="n"/>
      <c r="AH169" s="94" t="n"/>
      <c r="AI169" s="94" t="n"/>
      <c r="AJ169" s="94" t="n"/>
      <c r="AK169" s="94" t="n"/>
      <c r="AL169" s="94" t="n"/>
      <c r="AM169" s="94" t="n"/>
      <c r="AN169" s="94" t="n"/>
      <c r="AO169" s="94" t="n"/>
      <c r="AP169" s="94" t="n"/>
      <c r="AQ169" s="94" t="n"/>
      <c r="AR169" s="94" t="n"/>
      <c r="AS169" s="94" t="n"/>
      <c r="AT169" s="94" t="n"/>
      <c r="AU169" s="94" t="n"/>
      <c r="AV169" s="94" t="n"/>
      <c r="AW169" s="94" t="n"/>
      <c r="AX169" s="94" t="n"/>
      <c r="AY169" s="94" t="n"/>
      <c r="AZ169" s="94" t="n"/>
      <c r="BA169" s="94" t="n"/>
      <c r="BB169" s="94" t="n"/>
      <c r="BC169" s="94" t="n"/>
      <c r="BD169" s="94" t="n"/>
    </row>
    <row r="170" ht="15.75" customHeight="1" s="163">
      <c r="A170" s="94" t="n"/>
      <c r="B170" s="94" t="n"/>
      <c r="C170" s="94" t="n"/>
      <c r="D170" s="94" t="n"/>
      <c r="E170" s="94" t="n"/>
      <c r="F170" s="94" t="n"/>
      <c r="G170" s="94" t="n"/>
      <c r="H170" s="94" t="n"/>
      <c r="I170" s="94" t="n"/>
      <c r="J170" s="94" t="n"/>
      <c r="K170" s="94" t="n"/>
      <c r="L170" s="94" t="n"/>
      <c r="M170" s="94" t="n"/>
      <c r="N170" s="94" t="n"/>
      <c r="O170" s="94" t="n"/>
      <c r="P170" s="94" t="n"/>
      <c r="Q170" s="94" t="n"/>
      <c r="R170" s="94" t="n"/>
      <c r="S170" s="94" t="n"/>
      <c r="T170" s="94" t="n"/>
      <c r="U170" s="94" t="n"/>
      <c r="V170" s="94" t="n"/>
      <c r="W170" s="94" t="n"/>
      <c r="X170" s="94" t="n"/>
      <c r="Y170" s="94" t="n"/>
      <c r="Z170" s="94" t="n"/>
      <c r="AA170" s="94" t="n"/>
      <c r="AB170" s="94" t="n"/>
      <c r="AC170" s="94" t="n"/>
      <c r="AD170" s="94" t="n"/>
      <c r="AE170" s="94" t="n"/>
      <c r="AF170" s="94" t="n"/>
      <c r="AG170" s="94" t="n"/>
      <c r="AH170" s="94" t="n"/>
      <c r="AI170" s="94" t="n"/>
      <c r="AJ170" s="94" t="n"/>
      <c r="AK170" s="94" t="n"/>
      <c r="AL170" s="94" t="n"/>
      <c r="AM170" s="94" t="n"/>
      <c r="AN170" s="94" t="n"/>
      <c r="AO170" s="94" t="n"/>
      <c r="AP170" s="94" t="n"/>
      <c r="AQ170" s="94" t="n"/>
      <c r="AR170" s="94" t="n"/>
      <c r="AS170" s="94" t="n"/>
      <c r="AT170" s="94" t="n"/>
      <c r="AU170" s="94" t="n"/>
      <c r="AV170" s="94" t="n"/>
      <c r="AW170" s="94" t="n"/>
      <c r="AX170" s="94" t="n"/>
      <c r="AY170" s="94" t="n"/>
      <c r="AZ170" s="94" t="n"/>
      <c r="BA170" s="94" t="n"/>
      <c r="BB170" s="94" t="n"/>
      <c r="BC170" s="94" t="n"/>
      <c r="BD170" s="94" t="n"/>
    </row>
    <row r="171" ht="15.75" customHeight="1" s="163">
      <c r="A171" s="94" t="n"/>
      <c r="B171" s="94" t="n"/>
      <c r="C171" s="94" t="n"/>
      <c r="D171" s="94" t="n"/>
      <c r="E171" s="94" t="n"/>
      <c r="F171" s="94" t="n"/>
      <c r="G171" s="94" t="n"/>
      <c r="H171" s="94" t="n"/>
      <c r="I171" s="94" t="n"/>
      <c r="J171" s="94" t="n"/>
      <c r="K171" s="94" t="n"/>
      <c r="L171" s="94" t="n"/>
      <c r="M171" s="94" t="n"/>
      <c r="N171" s="94" t="n"/>
      <c r="O171" s="94" t="n"/>
      <c r="P171" s="94" t="n"/>
      <c r="Q171" s="94" t="n"/>
      <c r="R171" s="94" t="n"/>
      <c r="S171" s="94" t="n"/>
      <c r="T171" s="94" t="n"/>
      <c r="U171" s="94" t="n"/>
      <c r="V171" s="94" t="n"/>
      <c r="W171" s="94" t="n"/>
      <c r="X171" s="94" t="n"/>
      <c r="Y171" s="94" t="n"/>
      <c r="Z171" s="94" t="n"/>
      <c r="AA171" s="94" t="n"/>
      <c r="AB171" s="94" t="n"/>
      <c r="AC171" s="94" t="n"/>
      <c r="AD171" s="94" t="n"/>
      <c r="AE171" s="94" t="n"/>
      <c r="AF171" s="94" t="n"/>
      <c r="AG171" s="94" t="n"/>
      <c r="AH171" s="94" t="n"/>
      <c r="AI171" s="94" t="n"/>
      <c r="AJ171" s="94" t="n"/>
      <c r="AK171" s="94" t="n"/>
      <c r="AL171" s="94" t="n"/>
      <c r="AM171" s="94" t="n"/>
      <c r="AN171" s="94" t="n"/>
      <c r="AO171" s="94" t="n"/>
      <c r="AP171" s="94" t="n"/>
      <c r="AQ171" s="94" t="n"/>
      <c r="AR171" s="94" t="n"/>
      <c r="AS171" s="94" t="n"/>
      <c r="AT171" s="94" t="n"/>
      <c r="AU171" s="94" t="n"/>
      <c r="AV171" s="94" t="n"/>
      <c r="AW171" s="94" t="n"/>
      <c r="AX171" s="94" t="n"/>
      <c r="AY171" s="94" t="n"/>
      <c r="AZ171" s="94" t="n"/>
      <c r="BA171" s="94" t="n"/>
      <c r="BB171" s="94" t="n"/>
      <c r="BC171" s="94" t="n"/>
      <c r="BD171" s="94" t="n"/>
    </row>
    <row r="172" ht="15.75" customHeight="1" s="163">
      <c r="A172" s="94" t="n"/>
      <c r="B172" s="94" t="n"/>
      <c r="C172" s="94" t="n"/>
      <c r="D172" s="94" t="n"/>
      <c r="E172" s="94" t="n"/>
      <c r="F172" s="94" t="n"/>
      <c r="G172" s="94" t="n"/>
      <c r="H172" s="94" t="n"/>
      <c r="I172" s="94" t="n"/>
      <c r="J172" s="94" t="n"/>
      <c r="K172" s="94" t="n"/>
      <c r="L172" s="94" t="n"/>
      <c r="M172" s="94" t="n"/>
      <c r="N172" s="94" t="n"/>
      <c r="O172" s="94" t="n"/>
      <c r="P172" s="94" t="n"/>
      <c r="Q172" s="94" t="n"/>
      <c r="R172" s="94" t="n"/>
      <c r="S172" s="94" t="n"/>
      <c r="T172" s="94" t="n"/>
      <c r="U172" s="94" t="n"/>
      <c r="V172" s="94" t="n"/>
      <c r="W172" s="94" t="n"/>
      <c r="X172" s="94" t="n"/>
      <c r="Y172" s="94" t="n"/>
      <c r="Z172" s="94" t="n"/>
      <c r="AA172" s="94" t="n"/>
      <c r="AB172" s="94" t="n"/>
      <c r="AC172" s="94" t="n"/>
      <c r="AD172" s="94" t="n"/>
      <c r="AE172" s="94" t="n"/>
      <c r="AF172" s="94" t="n"/>
      <c r="AG172" s="94" t="n"/>
      <c r="AH172" s="94" t="n"/>
      <c r="AI172" s="94" t="n"/>
      <c r="AJ172" s="94" t="n"/>
      <c r="AK172" s="94" t="n"/>
      <c r="AL172" s="94" t="n"/>
      <c r="AM172" s="94" t="n"/>
      <c r="AN172" s="94" t="n"/>
      <c r="AO172" s="94" t="n"/>
      <c r="AP172" s="94" t="n"/>
      <c r="AQ172" s="94" t="n"/>
      <c r="AR172" s="94" t="n"/>
      <c r="AS172" s="94" t="n"/>
      <c r="AT172" s="94" t="n"/>
      <c r="AU172" s="94" t="n"/>
      <c r="AV172" s="94" t="n"/>
      <c r="AW172" s="94" t="n"/>
      <c r="AX172" s="94" t="n"/>
      <c r="AY172" s="94" t="n"/>
      <c r="AZ172" s="94" t="n"/>
      <c r="BA172" s="94" t="n"/>
      <c r="BB172" s="94" t="n"/>
      <c r="BC172" s="94" t="n"/>
      <c r="BD172" s="94" t="n"/>
    </row>
    <row r="173" ht="15.75" customHeight="1" s="163">
      <c r="A173" s="94" t="n"/>
      <c r="B173" s="94" t="n"/>
      <c r="C173" s="94" t="n"/>
      <c r="D173" s="94" t="n"/>
      <c r="E173" s="94" t="n"/>
      <c r="F173" s="94" t="n"/>
      <c r="G173" s="94" t="n"/>
      <c r="H173" s="94" t="n"/>
      <c r="I173" s="94" t="n"/>
      <c r="J173" s="94" t="n"/>
      <c r="K173" s="94" t="n"/>
      <c r="L173" s="94" t="n"/>
      <c r="M173" s="94" t="n"/>
      <c r="N173" s="94" t="n"/>
      <c r="O173" s="94" t="n"/>
      <c r="P173" s="94" t="n"/>
      <c r="Q173" s="94" t="n"/>
      <c r="R173" s="94" t="n"/>
      <c r="S173" s="94" t="n"/>
      <c r="T173" s="94" t="n"/>
      <c r="U173" s="94" t="n"/>
      <c r="V173" s="94" t="n"/>
      <c r="W173" s="94" t="n"/>
      <c r="X173" s="94" t="n"/>
      <c r="Y173" s="94" t="n"/>
      <c r="Z173" s="94" t="n"/>
      <c r="AA173" s="94" t="n"/>
      <c r="AB173" s="94" t="n"/>
      <c r="AC173" s="94" t="n"/>
      <c r="AD173" s="94" t="n"/>
      <c r="AE173" s="94" t="n"/>
      <c r="AF173" s="94" t="n"/>
      <c r="AG173" s="94" t="n"/>
      <c r="AH173" s="94" t="n"/>
      <c r="AI173" s="94" t="n"/>
      <c r="AJ173" s="94" t="n"/>
      <c r="AK173" s="94" t="n"/>
      <c r="AL173" s="94" t="n"/>
      <c r="AM173" s="94" t="n"/>
      <c r="AN173" s="94" t="n"/>
      <c r="AO173" s="94" t="n"/>
      <c r="AP173" s="94" t="n"/>
      <c r="AQ173" s="94" t="n"/>
      <c r="AR173" s="94" t="n"/>
      <c r="AS173" s="94" t="n"/>
      <c r="AT173" s="94" t="n"/>
      <c r="AU173" s="94" t="n"/>
      <c r="AV173" s="94" t="n"/>
      <c r="AW173" s="94" t="n"/>
      <c r="AX173" s="94" t="n"/>
      <c r="AY173" s="94" t="n"/>
      <c r="AZ173" s="94" t="n"/>
      <c r="BA173" s="94" t="n"/>
      <c r="BB173" s="94" t="n"/>
      <c r="BC173" s="94" t="n"/>
      <c r="BD173" s="94" t="n"/>
    </row>
    <row r="174" ht="15.75" customHeight="1" s="163">
      <c r="A174" s="94" t="n"/>
      <c r="B174" s="94" t="n"/>
      <c r="C174" s="94" t="n"/>
      <c r="D174" s="94" t="n"/>
      <c r="E174" s="94" t="n"/>
      <c r="F174" s="94" t="n"/>
      <c r="G174" s="94" t="n"/>
      <c r="H174" s="94" t="n"/>
      <c r="I174" s="94" t="n"/>
      <c r="J174" s="94" t="n"/>
      <c r="K174" s="94" t="n"/>
      <c r="L174" s="94" t="n"/>
      <c r="M174" s="94" t="n"/>
      <c r="N174" s="94" t="n"/>
      <c r="O174" s="94" t="n"/>
      <c r="P174" s="94" t="n"/>
      <c r="Q174" s="94" t="n"/>
      <c r="R174" s="94" t="n"/>
      <c r="S174" s="94" t="n"/>
      <c r="T174" s="94" t="n"/>
      <c r="U174" s="94" t="n"/>
      <c r="V174" s="94" t="n"/>
      <c r="W174" s="94" t="n"/>
      <c r="X174" s="94" t="n"/>
      <c r="Y174" s="94" t="n"/>
      <c r="Z174" s="94" t="n"/>
      <c r="AA174" s="94" t="n"/>
      <c r="AB174" s="94" t="n"/>
      <c r="AC174" s="94" t="n"/>
      <c r="AD174" s="94" t="n"/>
      <c r="AE174" s="94" t="n"/>
      <c r="AF174" s="94" t="n"/>
      <c r="AG174" s="94" t="n"/>
      <c r="AH174" s="94" t="n"/>
      <c r="AI174" s="94" t="n"/>
      <c r="AJ174" s="94" t="n"/>
      <c r="AK174" s="94" t="n"/>
      <c r="AL174" s="94" t="n"/>
      <c r="AM174" s="94" t="n"/>
      <c r="AN174" s="94" t="n"/>
      <c r="AO174" s="94" t="n"/>
      <c r="AP174" s="94" t="n"/>
      <c r="AQ174" s="94" t="n"/>
      <c r="AR174" s="94" t="n"/>
      <c r="AS174" s="94" t="n"/>
      <c r="AT174" s="94" t="n"/>
      <c r="AU174" s="94" t="n"/>
      <c r="AV174" s="94" t="n"/>
      <c r="AW174" s="94" t="n"/>
      <c r="AX174" s="94" t="n"/>
      <c r="AY174" s="94" t="n"/>
      <c r="AZ174" s="94" t="n"/>
      <c r="BA174" s="94" t="n"/>
      <c r="BB174" s="94" t="n"/>
      <c r="BC174" s="94" t="n"/>
      <c r="BD174" s="94" t="n"/>
    </row>
    <row r="175" ht="15.75" customHeight="1" s="163">
      <c r="A175" s="94" t="n"/>
      <c r="B175" s="94" t="n"/>
      <c r="C175" s="94" t="n"/>
      <c r="D175" s="94" t="n"/>
      <c r="E175" s="94" t="n"/>
      <c r="F175" s="94" t="n"/>
      <c r="G175" s="94" t="n"/>
      <c r="H175" s="94" t="n"/>
      <c r="I175" s="94" t="n"/>
      <c r="J175" s="94" t="n"/>
      <c r="K175" s="94" t="n"/>
      <c r="L175" s="94" t="n"/>
      <c r="M175" s="94" t="n"/>
      <c r="N175" s="94" t="n"/>
      <c r="O175" s="94" t="n"/>
      <c r="P175" s="94" t="n"/>
      <c r="Q175" s="94" t="n"/>
      <c r="R175" s="94" t="n"/>
      <c r="S175" s="94" t="n"/>
      <c r="T175" s="94" t="n"/>
      <c r="U175" s="94" t="n"/>
      <c r="V175" s="94" t="n"/>
      <c r="W175" s="94" t="n"/>
      <c r="X175" s="94" t="n"/>
      <c r="Y175" s="94" t="n"/>
      <c r="Z175" s="94" t="n"/>
      <c r="AA175" s="94" t="n"/>
      <c r="AB175" s="94" t="n"/>
      <c r="AC175" s="94" t="n"/>
      <c r="AD175" s="94" t="n"/>
      <c r="AE175" s="94" t="n"/>
      <c r="AF175" s="94" t="n"/>
      <c r="AG175" s="94" t="n"/>
      <c r="AH175" s="94" t="n"/>
      <c r="AI175" s="94" t="n"/>
      <c r="AJ175" s="94" t="n"/>
      <c r="AK175" s="94" t="n"/>
      <c r="AL175" s="94" t="n"/>
      <c r="AM175" s="94" t="n"/>
      <c r="AN175" s="94" t="n"/>
      <c r="AO175" s="94" t="n"/>
      <c r="AP175" s="94" t="n"/>
      <c r="AQ175" s="94" t="n"/>
      <c r="AR175" s="94" t="n"/>
      <c r="AS175" s="94" t="n"/>
      <c r="AT175" s="94" t="n"/>
      <c r="AU175" s="94" t="n"/>
      <c r="AV175" s="94" t="n"/>
      <c r="AW175" s="94" t="n"/>
      <c r="AX175" s="94" t="n"/>
      <c r="AY175" s="94" t="n"/>
      <c r="AZ175" s="94" t="n"/>
      <c r="BA175" s="94" t="n"/>
      <c r="BB175" s="94" t="n"/>
      <c r="BC175" s="94" t="n"/>
      <c r="BD175" s="94" t="n"/>
    </row>
    <row r="176" ht="15.75" customHeight="1" s="163">
      <c r="A176" s="94" t="n"/>
      <c r="B176" s="94" t="n"/>
      <c r="C176" s="94" t="n"/>
      <c r="D176" s="94" t="n"/>
      <c r="E176" s="94" t="n"/>
      <c r="F176" s="94" t="n"/>
      <c r="G176" s="94" t="n"/>
      <c r="H176" s="94" t="n"/>
      <c r="I176" s="94" t="n"/>
      <c r="J176" s="94" t="n"/>
      <c r="K176" s="94" t="n"/>
      <c r="L176" s="94" t="n"/>
      <c r="M176" s="94" t="n"/>
      <c r="N176" s="94" t="n"/>
      <c r="O176" s="94" t="n"/>
      <c r="P176" s="94" t="n"/>
      <c r="Q176" s="94" t="n"/>
      <c r="R176" s="94" t="n"/>
      <c r="S176" s="94" t="n"/>
      <c r="T176" s="94" t="n"/>
      <c r="U176" s="94" t="n"/>
      <c r="V176" s="94" t="n"/>
      <c r="W176" s="94" t="n"/>
      <c r="X176" s="94" t="n"/>
      <c r="Y176" s="94" t="n"/>
      <c r="Z176" s="94" t="n"/>
      <c r="AA176" s="94" t="n"/>
      <c r="AB176" s="94" t="n"/>
      <c r="AC176" s="94" t="n"/>
      <c r="AD176" s="94" t="n"/>
      <c r="AE176" s="94" t="n"/>
      <c r="AF176" s="94" t="n"/>
      <c r="AG176" s="94" t="n"/>
      <c r="AH176" s="94" t="n"/>
      <c r="AI176" s="94" t="n"/>
      <c r="AJ176" s="94" t="n"/>
      <c r="AK176" s="94" t="n"/>
      <c r="AL176" s="94" t="n"/>
      <c r="AM176" s="94" t="n"/>
      <c r="AN176" s="94" t="n"/>
      <c r="AO176" s="94" t="n"/>
      <c r="AP176" s="94" t="n"/>
      <c r="AQ176" s="94" t="n"/>
      <c r="AR176" s="94" t="n"/>
      <c r="AS176" s="94" t="n"/>
      <c r="AT176" s="94" t="n"/>
      <c r="AU176" s="94" t="n"/>
      <c r="AV176" s="94" t="n"/>
      <c r="AW176" s="94" t="n"/>
      <c r="AX176" s="94" t="n"/>
      <c r="AY176" s="94" t="n"/>
      <c r="AZ176" s="94" t="n"/>
      <c r="BA176" s="94" t="n"/>
      <c r="BB176" s="94" t="n"/>
      <c r="BC176" s="94" t="n"/>
      <c r="BD176" s="94" t="n"/>
    </row>
    <row r="177" ht="15.75" customHeight="1" s="163">
      <c r="A177" s="94" t="n"/>
      <c r="B177" s="94" t="n"/>
      <c r="C177" s="94" t="n"/>
      <c r="D177" s="94" t="n"/>
      <c r="E177" s="94" t="n"/>
      <c r="F177" s="94" t="n"/>
      <c r="G177" s="94" t="n"/>
      <c r="H177" s="94" t="n"/>
      <c r="I177" s="94" t="n"/>
      <c r="J177" s="94" t="n"/>
      <c r="K177" s="94" t="n"/>
      <c r="L177" s="94" t="n"/>
      <c r="M177" s="94" t="n"/>
      <c r="N177" s="94" t="n"/>
      <c r="O177" s="94" t="n"/>
      <c r="P177" s="94" t="n"/>
      <c r="Q177" s="94" t="n"/>
      <c r="R177" s="94" t="n"/>
      <c r="S177" s="94" t="n"/>
      <c r="T177" s="94" t="n"/>
      <c r="U177" s="94" t="n"/>
      <c r="V177" s="94" t="n"/>
      <c r="W177" s="94" t="n"/>
      <c r="X177" s="94" t="n"/>
      <c r="Y177" s="94" t="n"/>
      <c r="Z177" s="94" t="n"/>
      <c r="AA177" s="94" t="n"/>
      <c r="AB177" s="94" t="n"/>
      <c r="AC177" s="94" t="n"/>
      <c r="AD177" s="94" t="n"/>
      <c r="AE177" s="94" t="n"/>
      <c r="AF177" s="94" t="n"/>
      <c r="AG177" s="94" t="n"/>
      <c r="AH177" s="94" t="n"/>
      <c r="AI177" s="94" t="n"/>
      <c r="AJ177" s="94" t="n"/>
      <c r="AK177" s="94" t="n"/>
      <c r="AL177" s="94" t="n"/>
      <c r="AM177" s="94" t="n"/>
      <c r="AN177" s="94" t="n"/>
      <c r="AO177" s="94" t="n"/>
      <c r="AP177" s="94" t="n"/>
      <c r="AQ177" s="94" t="n"/>
      <c r="AR177" s="94" t="n"/>
      <c r="AS177" s="94" t="n"/>
      <c r="AT177" s="94" t="n"/>
      <c r="AU177" s="94" t="n"/>
      <c r="AV177" s="94" t="n"/>
      <c r="AW177" s="94" t="n"/>
      <c r="AX177" s="94" t="n"/>
      <c r="AY177" s="94" t="n"/>
      <c r="AZ177" s="94" t="n"/>
      <c r="BA177" s="94" t="n"/>
      <c r="BB177" s="94" t="n"/>
      <c r="BC177" s="94" t="n"/>
      <c r="BD177" s="94" t="n"/>
    </row>
    <row r="178" ht="15.75" customHeight="1" s="163">
      <c r="A178" s="94" t="n"/>
      <c r="B178" s="94" t="n"/>
      <c r="C178" s="94" t="n"/>
      <c r="D178" s="94" t="n"/>
      <c r="E178" s="94" t="n"/>
      <c r="F178" s="94" t="n"/>
      <c r="G178" s="94" t="n"/>
      <c r="H178" s="94" t="n"/>
      <c r="I178" s="94" t="n"/>
      <c r="J178" s="94" t="n"/>
      <c r="K178" s="94" t="n"/>
      <c r="L178" s="94" t="n"/>
      <c r="M178" s="94" t="n"/>
      <c r="N178" s="94" t="n"/>
      <c r="O178" s="94" t="n"/>
      <c r="P178" s="94" t="n"/>
      <c r="Q178" s="94" t="n"/>
      <c r="R178" s="94" t="n"/>
      <c r="S178" s="94" t="n"/>
      <c r="T178" s="94" t="n"/>
      <c r="U178" s="94" t="n"/>
      <c r="V178" s="94" t="n"/>
      <c r="W178" s="94" t="n"/>
      <c r="X178" s="94" t="n"/>
      <c r="Y178" s="94" t="n"/>
      <c r="Z178" s="94" t="n"/>
      <c r="AA178" s="94" t="n"/>
      <c r="AB178" s="94" t="n"/>
      <c r="AC178" s="94" t="n"/>
      <c r="AD178" s="94" t="n"/>
      <c r="AE178" s="94" t="n"/>
      <c r="AF178" s="94" t="n"/>
      <c r="AG178" s="94" t="n"/>
      <c r="AH178" s="94" t="n"/>
      <c r="AI178" s="94" t="n"/>
      <c r="AJ178" s="94" t="n"/>
      <c r="AK178" s="94" t="n"/>
      <c r="AL178" s="94" t="n"/>
      <c r="AM178" s="94" t="n"/>
      <c r="AN178" s="94" t="n"/>
      <c r="AO178" s="94" t="n"/>
      <c r="AP178" s="94" t="n"/>
      <c r="AQ178" s="94" t="n"/>
      <c r="AR178" s="94" t="n"/>
      <c r="AS178" s="94" t="n"/>
      <c r="AT178" s="94" t="n"/>
      <c r="AU178" s="94" t="n"/>
      <c r="AV178" s="94" t="n"/>
      <c r="AW178" s="94" t="n"/>
      <c r="AX178" s="94" t="n"/>
      <c r="AY178" s="94" t="n"/>
      <c r="AZ178" s="94" t="n"/>
      <c r="BA178" s="94" t="n"/>
      <c r="BB178" s="94" t="n"/>
      <c r="BC178" s="94" t="n"/>
      <c r="BD178" s="94" t="n"/>
    </row>
    <row r="179" ht="15.75" customHeight="1" s="163">
      <c r="A179" s="94" t="n"/>
      <c r="B179" s="94" t="n"/>
      <c r="C179" s="94" t="n"/>
      <c r="D179" s="94" t="n"/>
      <c r="E179" s="94" t="n"/>
      <c r="F179" s="94" t="n"/>
      <c r="G179" s="94" t="n"/>
      <c r="H179" s="94" t="n"/>
      <c r="I179" s="94" t="n"/>
      <c r="J179" s="94" t="n"/>
      <c r="K179" s="94" t="n"/>
      <c r="L179" s="94" t="n"/>
      <c r="M179" s="94" t="n"/>
      <c r="N179" s="94" t="n"/>
      <c r="O179" s="94" t="n"/>
      <c r="P179" s="94" t="n"/>
      <c r="Q179" s="94" t="n"/>
      <c r="R179" s="94" t="n"/>
      <c r="S179" s="94" t="n"/>
      <c r="T179" s="94" t="n"/>
      <c r="U179" s="94" t="n"/>
      <c r="V179" s="94" t="n"/>
      <c r="W179" s="94" t="n"/>
      <c r="X179" s="94" t="n"/>
      <c r="Y179" s="94" t="n"/>
      <c r="Z179" s="94" t="n"/>
      <c r="AA179" s="94" t="n"/>
      <c r="AB179" s="94" t="n"/>
      <c r="AC179" s="94" t="n"/>
      <c r="AD179" s="94" t="n"/>
      <c r="AE179" s="94" t="n"/>
      <c r="AF179" s="94" t="n"/>
      <c r="AG179" s="94" t="n"/>
      <c r="AH179" s="94" t="n"/>
      <c r="AI179" s="94" t="n"/>
      <c r="AJ179" s="94" t="n"/>
      <c r="AK179" s="94" t="n"/>
      <c r="AL179" s="94" t="n"/>
      <c r="AM179" s="94" t="n"/>
      <c r="AN179" s="94" t="n"/>
      <c r="AO179" s="94" t="n"/>
      <c r="AP179" s="94" t="n"/>
      <c r="AQ179" s="94" t="n"/>
      <c r="AR179" s="94" t="n"/>
      <c r="AS179" s="94" t="n"/>
      <c r="AT179" s="94" t="n"/>
      <c r="AU179" s="94" t="n"/>
      <c r="AV179" s="94" t="n"/>
      <c r="AW179" s="94" t="n"/>
      <c r="AX179" s="94" t="n"/>
      <c r="AY179" s="94" t="n"/>
      <c r="AZ179" s="94" t="n"/>
      <c r="BA179" s="94" t="n"/>
      <c r="BB179" s="94" t="n"/>
      <c r="BC179" s="94" t="n"/>
      <c r="BD179" s="94" t="n"/>
    </row>
    <row r="180" ht="15.75" customHeight="1" s="163">
      <c r="A180" s="94" t="n"/>
      <c r="B180" s="94" t="n"/>
      <c r="C180" s="94" t="n"/>
      <c r="D180" s="94" t="n"/>
      <c r="E180" s="94" t="n"/>
      <c r="F180" s="94" t="n"/>
      <c r="G180" s="94" t="n"/>
      <c r="H180" s="94" t="n"/>
      <c r="I180" s="94" t="n"/>
      <c r="J180" s="94" t="n"/>
      <c r="K180" s="94" t="n"/>
      <c r="L180" s="94" t="n"/>
      <c r="M180" s="94" t="n"/>
      <c r="N180" s="94" t="n"/>
      <c r="O180" s="94" t="n"/>
      <c r="P180" s="94" t="n"/>
      <c r="Q180" s="94" t="n"/>
      <c r="R180" s="94" t="n"/>
      <c r="S180" s="94" t="n"/>
      <c r="T180" s="94" t="n"/>
      <c r="U180" s="94" t="n"/>
      <c r="V180" s="94" t="n"/>
      <c r="W180" s="94" t="n"/>
      <c r="X180" s="94" t="n"/>
      <c r="Y180" s="94" t="n"/>
      <c r="Z180" s="94" t="n"/>
      <c r="AA180" s="94" t="n"/>
      <c r="AB180" s="94" t="n"/>
      <c r="AC180" s="94" t="n"/>
      <c r="AD180" s="94" t="n"/>
      <c r="AE180" s="94" t="n"/>
      <c r="AF180" s="94" t="n"/>
      <c r="AG180" s="94" t="n"/>
      <c r="AH180" s="94" t="n"/>
      <c r="AI180" s="94" t="n"/>
      <c r="AJ180" s="94" t="n"/>
      <c r="AK180" s="94" t="n"/>
      <c r="AL180" s="94" t="n"/>
      <c r="AM180" s="94" t="n"/>
      <c r="AN180" s="94" t="n"/>
      <c r="AO180" s="94" t="n"/>
      <c r="AP180" s="94" t="n"/>
      <c r="AQ180" s="94" t="n"/>
      <c r="AR180" s="94" t="n"/>
      <c r="AS180" s="94" t="n"/>
      <c r="AT180" s="94" t="n"/>
      <c r="AU180" s="94" t="n"/>
      <c r="AV180" s="94" t="n"/>
      <c r="AW180" s="94" t="n"/>
      <c r="AX180" s="94" t="n"/>
      <c r="AY180" s="94" t="n"/>
      <c r="AZ180" s="94" t="n"/>
      <c r="BA180" s="94" t="n"/>
      <c r="BB180" s="94" t="n"/>
      <c r="BC180" s="94" t="n"/>
      <c r="BD180" s="94" t="n"/>
    </row>
    <row r="181" ht="15.75" customHeight="1" s="163">
      <c r="A181" s="94" t="n"/>
      <c r="B181" s="94" t="n"/>
      <c r="C181" s="94" t="n"/>
      <c r="D181" s="94" t="n"/>
      <c r="E181" s="94" t="n"/>
      <c r="F181" s="94" t="n"/>
      <c r="G181" s="94" t="n"/>
      <c r="H181" s="94" t="n"/>
      <c r="I181" s="94" t="n"/>
      <c r="J181" s="94" t="n"/>
      <c r="K181" s="94" t="n"/>
      <c r="L181" s="94" t="n"/>
      <c r="M181" s="94" t="n"/>
      <c r="N181" s="94" t="n"/>
      <c r="O181" s="94" t="n"/>
      <c r="P181" s="94" t="n"/>
      <c r="Q181" s="94" t="n"/>
      <c r="R181" s="94" t="n"/>
      <c r="S181" s="94" t="n"/>
      <c r="T181" s="94" t="n"/>
      <c r="U181" s="94" t="n"/>
      <c r="V181" s="94" t="n"/>
      <c r="W181" s="94" t="n"/>
      <c r="X181" s="94" t="n"/>
      <c r="Y181" s="94" t="n"/>
      <c r="Z181" s="94" t="n"/>
      <c r="AA181" s="94" t="n"/>
      <c r="AB181" s="94" t="n"/>
      <c r="AC181" s="94" t="n"/>
      <c r="AD181" s="94" t="n"/>
      <c r="AE181" s="94" t="n"/>
      <c r="AF181" s="94" t="n"/>
      <c r="AG181" s="94" t="n"/>
      <c r="AH181" s="94" t="n"/>
      <c r="AI181" s="94" t="n"/>
      <c r="AJ181" s="94" t="n"/>
      <c r="AK181" s="94" t="n"/>
      <c r="AL181" s="94" t="n"/>
      <c r="AM181" s="94" t="n"/>
      <c r="AN181" s="94" t="n"/>
      <c r="AO181" s="94" t="n"/>
      <c r="AP181" s="94" t="n"/>
      <c r="AQ181" s="94" t="n"/>
      <c r="AR181" s="94" t="n"/>
      <c r="AS181" s="94" t="n"/>
      <c r="AT181" s="94" t="n"/>
      <c r="AU181" s="94" t="n"/>
      <c r="AV181" s="94" t="n"/>
      <c r="AW181" s="94" t="n"/>
      <c r="AX181" s="94" t="n"/>
      <c r="AY181" s="94" t="n"/>
      <c r="AZ181" s="94" t="n"/>
      <c r="BA181" s="94" t="n"/>
      <c r="BB181" s="94" t="n"/>
      <c r="BC181" s="94" t="n"/>
      <c r="BD181" s="94" t="n"/>
    </row>
    <row r="182" ht="15.75" customHeight="1" s="163">
      <c r="A182" s="94" t="n"/>
      <c r="B182" s="94" t="n"/>
      <c r="C182" s="94" t="n"/>
      <c r="D182" s="94" t="n"/>
      <c r="E182" s="94" t="n"/>
      <c r="F182" s="94" t="n"/>
      <c r="G182" s="94" t="n"/>
      <c r="H182" s="94" t="n"/>
      <c r="I182" s="94" t="n"/>
      <c r="J182" s="94" t="n"/>
      <c r="K182" s="94" t="n"/>
      <c r="L182" s="94" t="n"/>
      <c r="M182" s="94" t="n"/>
      <c r="N182" s="94" t="n"/>
      <c r="O182" s="94" t="n"/>
      <c r="P182" s="94" t="n"/>
      <c r="Q182" s="94" t="n"/>
      <c r="R182" s="94" t="n"/>
      <c r="S182" s="94" t="n"/>
      <c r="T182" s="94" t="n"/>
      <c r="U182" s="94" t="n"/>
      <c r="V182" s="94" t="n"/>
      <c r="W182" s="94" t="n"/>
      <c r="X182" s="94" t="n"/>
      <c r="Y182" s="94" t="n"/>
      <c r="Z182" s="94" t="n"/>
      <c r="AA182" s="94" t="n"/>
      <c r="AB182" s="94" t="n"/>
      <c r="AC182" s="94" t="n"/>
      <c r="AD182" s="94" t="n"/>
      <c r="AE182" s="94" t="n"/>
      <c r="AF182" s="94" t="n"/>
      <c r="AG182" s="94" t="n"/>
      <c r="AH182" s="94" t="n"/>
      <c r="AI182" s="94" t="n"/>
      <c r="AJ182" s="94" t="n"/>
      <c r="AK182" s="94" t="n"/>
      <c r="AL182" s="94" t="n"/>
      <c r="AM182" s="94" t="n"/>
      <c r="AN182" s="94" t="n"/>
      <c r="AO182" s="94" t="n"/>
      <c r="AP182" s="94" t="n"/>
      <c r="AQ182" s="94" t="n"/>
      <c r="AR182" s="94" t="n"/>
      <c r="AS182" s="94" t="n"/>
      <c r="AT182" s="94" t="n"/>
      <c r="AU182" s="94" t="n"/>
      <c r="AV182" s="94" t="n"/>
      <c r="AW182" s="94" t="n"/>
      <c r="AX182" s="94" t="n"/>
      <c r="AY182" s="94" t="n"/>
      <c r="AZ182" s="94" t="n"/>
      <c r="BA182" s="94" t="n"/>
      <c r="BB182" s="94" t="n"/>
      <c r="BC182" s="94" t="n"/>
      <c r="BD182" s="94" t="n"/>
    </row>
    <row r="183" ht="15.75" customHeight="1" s="163">
      <c r="A183" s="94" t="n"/>
      <c r="B183" s="94" t="n"/>
      <c r="C183" s="94" t="n"/>
      <c r="D183" s="94" t="n"/>
      <c r="E183" s="94" t="n"/>
      <c r="F183" s="94" t="n"/>
      <c r="G183" s="94" t="n"/>
      <c r="H183" s="94" t="n"/>
      <c r="I183" s="94" t="n"/>
      <c r="J183" s="94" t="n"/>
      <c r="K183" s="94" t="n"/>
      <c r="L183" s="94" t="n"/>
      <c r="M183" s="94" t="n"/>
      <c r="N183" s="94" t="n"/>
      <c r="O183" s="94" t="n"/>
      <c r="P183" s="94" t="n"/>
      <c r="Q183" s="94" t="n"/>
      <c r="R183" s="94" t="n"/>
      <c r="S183" s="94" t="n"/>
      <c r="T183" s="94" t="n"/>
      <c r="U183" s="94" t="n"/>
      <c r="V183" s="94" t="n"/>
      <c r="W183" s="94" t="n"/>
      <c r="X183" s="94" t="n"/>
      <c r="Y183" s="94" t="n"/>
      <c r="Z183" s="94" t="n"/>
      <c r="AA183" s="94" t="n"/>
      <c r="AB183" s="94" t="n"/>
      <c r="AC183" s="94" t="n"/>
      <c r="AD183" s="94" t="n"/>
      <c r="AE183" s="94" t="n"/>
      <c r="AF183" s="94" t="n"/>
      <c r="AG183" s="94" t="n"/>
      <c r="AH183" s="94" t="n"/>
      <c r="AI183" s="94" t="n"/>
      <c r="AJ183" s="94" t="n"/>
      <c r="AK183" s="94" t="n"/>
      <c r="AL183" s="94" t="n"/>
      <c r="AM183" s="94" t="n"/>
      <c r="AN183" s="94" t="n"/>
      <c r="AO183" s="94" t="n"/>
      <c r="AP183" s="94" t="n"/>
      <c r="AQ183" s="94" t="n"/>
      <c r="AR183" s="94" t="n"/>
      <c r="AS183" s="94" t="n"/>
      <c r="AT183" s="94" t="n"/>
      <c r="AU183" s="94" t="n"/>
      <c r="AV183" s="94" t="n"/>
      <c r="AW183" s="94" t="n"/>
      <c r="AX183" s="94" t="n"/>
      <c r="AY183" s="94" t="n"/>
      <c r="AZ183" s="94" t="n"/>
      <c r="BA183" s="94" t="n"/>
      <c r="BB183" s="94" t="n"/>
      <c r="BC183" s="94" t="n"/>
      <c r="BD183" s="94" t="n"/>
    </row>
    <row r="184" ht="15.75" customHeight="1" s="163">
      <c r="A184" s="94" t="n"/>
      <c r="B184" s="94" t="n"/>
      <c r="C184" s="94" t="n"/>
      <c r="D184" s="94" t="n"/>
      <c r="E184" s="94" t="n"/>
      <c r="F184" s="94" t="n"/>
      <c r="G184" s="94" t="n"/>
      <c r="H184" s="94" t="n"/>
      <c r="I184" s="94" t="n"/>
      <c r="J184" s="94" t="n"/>
      <c r="K184" s="94" t="n"/>
      <c r="L184" s="94" t="n"/>
      <c r="M184" s="94" t="n"/>
      <c r="N184" s="94" t="n"/>
      <c r="O184" s="94" t="n"/>
      <c r="P184" s="94" t="n"/>
      <c r="Q184" s="94" t="n"/>
      <c r="R184" s="94" t="n"/>
      <c r="S184" s="94" t="n"/>
      <c r="T184" s="94" t="n"/>
      <c r="U184" s="94" t="n"/>
      <c r="V184" s="94" t="n"/>
      <c r="W184" s="94" t="n"/>
      <c r="X184" s="94" t="n"/>
      <c r="Y184" s="94" t="n"/>
      <c r="Z184" s="94" t="n"/>
      <c r="AA184" s="94" t="n"/>
      <c r="AB184" s="94" t="n"/>
      <c r="AC184" s="94" t="n"/>
      <c r="AD184" s="94" t="n"/>
      <c r="AE184" s="94" t="n"/>
      <c r="AF184" s="94" t="n"/>
      <c r="AG184" s="94" t="n"/>
      <c r="AH184" s="94" t="n"/>
      <c r="AI184" s="94" t="n"/>
      <c r="AJ184" s="94" t="n"/>
      <c r="AK184" s="94" t="n"/>
      <c r="AL184" s="94" t="n"/>
      <c r="AM184" s="94" t="n"/>
      <c r="AN184" s="94" t="n"/>
      <c r="AO184" s="94" t="n"/>
      <c r="AP184" s="94" t="n"/>
      <c r="AQ184" s="94" t="n"/>
      <c r="AR184" s="94" t="n"/>
      <c r="AS184" s="94" t="n"/>
      <c r="AT184" s="94" t="n"/>
      <c r="AU184" s="94" t="n"/>
      <c r="AV184" s="94" t="n"/>
      <c r="AW184" s="94" t="n"/>
      <c r="AX184" s="94" t="n"/>
      <c r="AY184" s="94" t="n"/>
      <c r="AZ184" s="94" t="n"/>
      <c r="BA184" s="94" t="n"/>
      <c r="BB184" s="94" t="n"/>
      <c r="BC184" s="94" t="n"/>
      <c r="BD184" s="94" t="n"/>
    </row>
    <row r="185" ht="15.75" customHeight="1" s="163">
      <c r="A185" s="94" t="n"/>
      <c r="B185" s="94" t="n"/>
      <c r="C185" s="94" t="n"/>
      <c r="D185" s="94" t="n"/>
      <c r="E185" s="94" t="n"/>
      <c r="F185" s="94" t="n"/>
      <c r="G185" s="94" t="n"/>
      <c r="H185" s="94" t="n"/>
      <c r="I185" s="94" t="n"/>
      <c r="J185" s="94" t="n"/>
      <c r="K185" s="94" t="n"/>
      <c r="L185" s="94" t="n"/>
      <c r="M185" s="94" t="n"/>
      <c r="N185" s="94" t="n"/>
      <c r="O185" s="94" t="n"/>
      <c r="P185" s="94" t="n"/>
      <c r="Q185" s="94" t="n"/>
      <c r="R185" s="94" t="n"/>
      <c r="S185" s="94" t="n"/>
      <c r="T185" s="94" t="n"/>
      <c r="U185" s="94" t="n"/>
      <c r="V185" s="94" t="n"/>
      <c r="W185" s="94" t="n"/>
      <c r="X185" s="94" t="n"/>
      <c r="Y185" s="94" t="n"/>
      <c r="Z185" s="94" t="n"/>
      <c r="AA185" s="94" t="n"/>
      <c r="AB185" s="94" t="n"/>
      <c r="AC185" s="94" t="n"/>
      <c r="AD185" s="94" t="n"/>
      <c r="AE185" s="94" t="n"/>
      <c r="AF185" s="94" t="n"/>
      <c r="AG185" s="94" t="n"/>
      <c r="AH185" s="94" t="n"/>
      <c r="AI185" s="94" t="n"/>
      <c r="AJ185" s="94" t="n"/>
      <c r="AK185" s="94" t="n"/>
      <c r="AL185" s="94" t="n"/>
      <c r="AM185" s="94" t="n"/>
      <c r="AN185" s="94" t="n"/>
      <c r="AO185" s="94" t="n"/>
      <c r="AP185" s="94" t="n"/>
      <c r="AQ185" s="94" t="n"/>
      <c r="AR185" s="94" t="n"/>
      <c r="AS185" s="94" t="n"/>
      <c r="AT185" s="94" t="n"/>
      <c r="AU185" s="94" t="n"/>
      <c r="AV185" s="94" t="n"/>
      <c r="AW185" s="94" t="n"/>
      <c r="AX185" s="94" t="n"/>
      <c r="AY185" s="94" t="n"/>
      <c r="AZ185" s="94" t="n"/>
      <c r="BA185" s="94" t="n"/>
      <c r="BB185" s="94" t="n"/>
      <c r="BC185" s="94" t="n"/>
      <c r="BD185" s="94" t="n"/>
    </row>
    <row r="186" ht="15.75" customHeight="1" s="163">
      <c r="A186" s="94" t="n"/>
      <c r="B186" s="94" t="n"/>
      <c r="C186" s="94" t="n"/>
      <c r="D186" s="94" t="n"/>
      <c r="E186" s="94" t="n"/>
      <c r="F186" s="94" t="n"/>
      <c r="G186" s="94" t="n"/>
      <c r="H186" s="94" t="n"/>
      <c r="I186" s="94" t="n"/>
      <c r="J186" s="94" t="n"/>
      <c r="K186" s="94" t="n"/>
      <c r="L186" s="94" t="n"/>
      <c r="M186" s="94" t="n"/>
      <c r="N186" s="94" t="n"/>
      <c r="O186" s="94" t="n"/>
      <c r="P186" s="94" t="n"/>
      <c r="Q186" s="94" t="n"/>
      <c r="R186" s="94" t="n"/>
      <c r="S186" s="94" t="n"/>
      <c r="T186" s="94" t="n"/>
      <c r="U186" s="94" t="n"/>
      <c r="V186" s="94" t="n"/>
      <c r="W186" s="94" t="n"/>
      <c r="X186" s="94" t="n"/>
      <c r="Y186" s="94" t="n"/>
      <c r="Z186" s="94" t="n"/>
      <c r="AA186" s="94" t="n"/>
      <c r="AB186" s="94" t="n"/>
      <c r="AC186" s="94" t="n"/>
      <c r="AD186" s="94" t="n"/>
      <c r="AE186" s="94" t="n"/>
      <c r="AF186" s="94" t="n"/>
      <c r="AG186" s="94" t="n"/>
      <c r="AH186" s="94" t="n"/>
      <c r="AI186" s="94" t="n"/>
      <c r="AJ186" s="94" t="n"/>
      <c r="AK186" s="94" t="n"/>
      <c r="AL186" s="94" t="n"/>
      <c r="AM186" s="94" t="n"/>
      <c r="AN186" s="94" t="n"/>
      <c r="AO186" s="94" t="n"/>
      <c r="AP186" s="94" t="n"/>
      <c r="AQ186" s="94" t="n"/>
      <c r="AR186" s="94" t="n"/>
      <c r="AS186" s="94" t="n"/>
      <c r="AT186" s="94" t="n"/>
      <c r="AU186" s="94" t="n"/>
      <c r="AV186" s="94" t="n"/>
      <c r="AW186" s="94" t="n"/>
      <c r="AX186" s="94" t="n"/>
      <c r="AY186" s="94" t="n"/>
      <c r="AZ186" s="94" t="n"/>
      <c r="BA186" s="94" t="n"/>
      <c r="BB186" s="94" t="n"/>
      <c r="BC186" s="94" t="n"/>
      <c r="BD186" s="94" t="n"/>
    </row>
    <row r="187" ht="15.75" customHeight="1" s="163">
      <c r="A187" s="94" t="n"/>
      <c r="B187" s="94" t="n"/>
      <c r="C187" s="94" t="n"/>
      <c r="D187" s="94" t="n"/>
      <c r="E187" s="94" t="n"/>
      <c r="F187" s="94" t="n"/>
      <c r="G187" s="94" t="n"/>
      <c r="H187" s="94" t="n"/>
      <c r="I187" s="94" t="n"/>
      <c r="J187" s="94" t="n"/>
      <c r="K187" s="94" t="n"/>
      <c r="L187" s="94" t="n"/>
      <c r="M187" s="94" t="n"/>
      <c r="N187" s="94" t="n"/>
      <c r="O187" s="94" t="n"/>
      <c r="P187" s="94" t="n"/>
      <c r="Q187" s="94" t="n"/>
      <c r="R187" s="94" t="n"/>
      <c r="S187" s="94" t="n"/>
      <c r="T187" s="94" t="n"/>
      <c r="U187" s="94" t="n"/>
      <c r="V187" s="94" t="n"/>
      <c r="W187" s="94" t="n"/>
      <c r="X187" s="94" t="n"/>
      <c r="Y187" s="94" t="n"/>
      <c r="Z187" s="94" t="n"/>
      <c r="AA187" s="94" t="n"/>
      <c r="AB187" s="94" t="n"/>
      <c r="AC187" s="94" t="n"/>
      <c r="AD187" s="94" t="n"/>
      <c r="AE187" s="94" t="n"/>
      <c r="AF187" s="94" t="n"/>
      <c r="AG187" s="94" t="n"/>
      <c r="AH187" s="94" t="n"/>
      <c r="AI187" s="94" t="n"/>
      <c r="AJ187" s="94" t="n"/>
      <c r="AK187" s="94" t="n"/>
      <c r="AL187" s="94" t="n"/>
      <c r="AM187" s="94" t="n"/>
      <c r="AN187" s="94" t="n"/>
      <c r="AO187" s="94" t="n"/>
      <c r="AP187" s="94" t="n"/>
      <c r="AQ187" s="94" t="n"/>
      <c r="AR187" s="94" t="n"/>
      <c r="AS187" s="94" t="n"/>
      <c r="AT187" s="94" t="n"/>
      <c r="AU187" s="94" t="n"/>
      <c r="AV187" s="94" t="n"/>
      <c r="AW187" s="94" t="n"/>
      <c r="AX187" s="94" t="n"/>
      <c r="AY187" s="94" t="n"/>
      <c r="AZ187" s="94" t="n"/>
      <c r="BA187" s="94" t="n"/>
      <c r="BB187" s="94" t="n"/>
      <c r="BC187" s="94" t="n"/>
      <c r="BD187" s="94" t="n"/>
    </row>
    <row r="188" ht="15.75" customHeight="1" s="163">
      <c r="A188" s="94" t="n"/>
      <c r="B188" s="94" t="n"/>
      <c r="C188" s="94" t="n"/>
      <c r="D188" s="94" t="n"/>
      <c r="E188" s="94" t="n"/>
      <c r="F188" s="94" t="n"/>
      <c r="G188" s="94" t="n"/>
      <c r="H188" s="94" t="n"/>
      <c r="I188" s="94" t="n"/>
      <c r="J188" s="94" t="n"/>
      <c r="K188" s="94" t="n"/>
      <c r="L188" s="94" t="n"/>
      <c r="M188" s="94" t="n"/>
      <c r="N188" s="94" t="n"/>
      <c r="O188" s="94" t="n"/>
      <c r="P188" s="94" t="n"/>
      <c r="Q188" s="94" t="n"/>
      <c r="R188" s="94" t="n"/>
      <c r="S188" s="94" t="n"/>
      <c r="T188" s="94" t="n"/>
      <c r="U188" s="94" t="n"/>
      <c r="V188" s="94" t="n"/>
      <c r="W188" s="94" t="n"/>
      <c r="X188" s="94" t="n"/>
      <c r="Y188" s="94" t="n"/>
      <c r="Z188" s="94" t="n"/>
      <c r="AA188" s="94" t="n"/>
      <c r="AB188" s="94" t="n"/>
      <c r="AC188" s="94" t="n"/>
      <c r="AD188" s="94" t="n"/>
      <c r="AE188" s="94" t="n"/>
      <c r="AF188" s="94" t="n"/>
      <c r="AG188" s="94" t="n"/>
      <c r="AH188" s="94" t="n"/>
      <c r="AI188" s="94" t="n"/>
      <c r="AJ188" s="94" t="n"/>
      <c r="AK188" s="94" t="n"/>
      <c r="AL188" s="94" t="n"/>
      <c r="AM188" s="94" t="n"/>
      <c r="AN188" s="94" t="n"/>
      <c r="AO188" s="94" t="n"/>
      <c r="AP188" s="94" t="n"/>
      <c r="AQ188" s="94" t="n"/>
      <c r="AR188" s="94" t="n"/>
      <c r="AS188" s="94" t="n"/>
      <c r="AT188" s="94" t="n"/>
      <c r="AU188" s="94" t="n"/>
      <c r="AV188" s="94" t="n"/>
      <c r="AW188" s="94" t="n"/>
      <c r="AX188" s="94" t="n"/>
      <c r="AY188" s="94" t="n"/>
      <c r="AZ188" s="94" t="n"/>
      <c r="BA188" s="94" t="n"/>
      <c r="BB188" s="94" t="n"/>
      <c r="BC188" s="94" t="n"/>
      <c r="BD188" s="94" t="n"/>
    </row>
    <row r="189" ht="15.75" customHeight="1" s="163">
      <c r="A189" s="94" t="n"/>
      <c r="B189" s="94" t="n"/>
      <c r="C189" s="94" t="n"/>
      <c r="D189" s="94" t="n"/>
      <c r="E189" s="94" t="n"/>
      <c r="F189" s="94" t="n"/>
      <c r="G189" s="94" t="n"/>
      <c r="H189" s="94" t="n"/>
      <c r="I189" s="94" t="n"/>
      <c r="J189" s="94" t="n"/>
      <c r="K189" s="94" t="n"/>
      <c r="L189" s="94" t="n"/>
      <c r="M189" s="94" t="n"/>
      <c r="N189" s="94" t="n"/>
      <c r="O189" s="94" t="n"/>
      <c r="P189" s="94" t="n"/>
      <c r="Q189" s="94" t="n"/>
      <c r="R189" s="94" t="n"/>
      <c r="S189" s="94" t="n"/>
      <c r="T189" s="94" t="n"/>
      <c r="U189" s="94" t="n"/>
      <c r="V189" s="94" t="n"/>
      <c r="W189" s="94" t="n"/>
      <c r="X189" s="94" t="n"/>
      <c r="Y189" s="94" t="n"/>
      <c r="Z189" s="94" t="n"/>
      <c r="AA189" s="94" t="n"/>
      <c r="AB189" s="94" t="n"/>
      <c r="AC189" s="94" t="n"/>
      <c r="AD189" s="94" t="n"/>
      <c r="AE189" s="94" t="n"/>
      <c r="AF189" s="94" t="n"/>
      <c r="AG189" s="94" t="n"/>
      <c r="AH189" s="94" t="n"/>
      <c r="AI189" s="94" t="n"/>
      <c r="AJ189" s="94" t="n"/>
      <c r="AK189" s="94" t="n"/>
      <c r="AL189" s="94" t="n"/>
      <c r="AM189" s="94" t="n"/>
      <c r="AN189" s="94" t="n"/>
      <c r="AO189" s="94" t="n"/>
      <c r="AP189" s="94" t="n"/>
      <c r="AQ189" s="94" t="n"/>
      <c r="AR189" s="94" t="n"/>
      <c r="AS189" s="94" t="n"/>
      <c r="AT189" s="94" t="n"/>
      <c r="AU189" s="94" t="n"/>
      <c r="AV189" s="94" t="n"/>
      <c r="AW189" s="94" t="n"/>
      <c r="AX189" s="94" t="n"/>
      <c r="AY189" s="94" t="n"/>
      <c r="AZ189" s="94" t="n"/>
      <c r="BA189" s="94" t="n"/>
      <c r="BB189" s="94" t="n"/>
      <c r="BC189" s="94" t="n"/>
      <c r="BD189" s="94" t="n"/>
    </row>
    <row r="190" ht="15.75" customHeight="1" s="163">
      <c r="A190" s="94" t="n"/>
      <c r="B190" s="94" t="n"/>
      <c r="C190" s="94" t="n"/>
      <c r="D190" s="94" t="n"/>
      <c r="E190" s="94" t="n"/>
      <c r="F190" s="94" t="n"/>
      <c r="G190" s="94" t="n"/>
      <c r="H190" s="94" t="n"/>
      <c r="I190" s="94" t="n"/>
      <c r="J190" s="94" t="n"/>
      <c r="K190" s="94" t="n"/>
      <c r="L190" s="94" t="n"/>
      <c r="M190" s="94" t="n"/>
      <c r="N190" s="94" t="n"/>
      <c r="O190" s="94" t="n"/>
      <c r="P190" s="94" t="n"/>
      <c r="Q190" s="94" t="n"/>
      <c r="R190" s="94" t="n"/>
      <c r="S190" s="94" t="n"/>
      <c r="T190" s="94" t="n"/>
      <c r="U190" s="94" t="n"/>
      <c r="V190" s="94" t="n"/>
      <c r="W190" s="94" t="n"/>
      <c r="X190" s="94" t="n"/>
      <c r="Y190" s="94" t="n"/>
      <c r="Z190" s="94" t="n"/>
      <c r="AA190" s="94" t="n"/>
      <c r="AB190" s="94" t="n"/>
      <c r="AC190" s="94" t="n"/>
      <c r="AD190" s="94" t="n"/>
      <c r="AE190" s="94" t="n"/>
      <c r="AF190" s="94" t="n"/>
      <c r="AG190" s="94" t="n"/>
      <c r="AH190" s="94" t="n"/>
      <c r="AI190" s="94" t="n"/>
      <c r="AJ190" s="94" t="n"/>
      <c r="AK190" s="94" t="n"/>
      <c r="AL190" s="94" t="n"/>
      <c r="AM190" s="94" t="n"/>
      <c r="AN190" s="94" t="n"/>
      <c r="AO190" s="94" t="n"/>
      <c r="AP190" s="94" t="n"/>
      <c r="AQ190" s="94" t="n"/>
      <c r="AR190" s="94" t="n"/>
      <c r="AS190" s="94" t="n"/>
      <c r="AT190" s="94" t="n"/>
      <c r="AU190" s="94" t="n"/>
      <c r="AV190" s="94" t="n"/>
      <c r="AW190" s="94" t="n"/>
      <c r="AX190" s="94" t="n"/>
      <c r="AY190" s="94" t="n"/>
      <c r="AZ190" s="94" t="n"/>
      <c r="BA190" s="94" t="n"/>
      <c r="BB190" s="94" t="n"/>
      <c r="BC190" s="94" t="n"/>
      <c r="BD190" s="94" t="n"/>
    </row>
    <row r="191" ht="15.75" customHeight="1" s="163">
      <c r="A191" s="94" t="n"/>
      <c r="B191" s="94" t="n"/>
      <c r="C191" s="94" t="n"/>
      <c r="D191" s="94" t="n"/>
      <c r="E191" s="94" t="n"/>
      <c r="F191" s="94" t="n"/>
      <c r="G191" s="94" t="n"/>
      <c r="H191" s="94" t="n"/>
      <c r="I191" s="94" t="n"/>
      <c r="J191" s="94" t="n"/>
      <c r="K191" s="94" t="n"/>
      <c r="L191" s="94" t="n"/>
      <c r="M191" s="94" t="n"/>
      <c r="N191" s="94" t="n"/>
      <c r="O191" s="94" t="n"/>
      <c r="P191" s="94" t="n"/>
      <c r="Q191" s="94" t="n"/>
      <c r="R191" s="94" t="n"/>
      <c r="S191" s="94" t="n"/>
      <c r="T191" s="94" t="n"/>
      <c r="U191" s="94" t="n"/>
      <c r="V191" s="94" t="n"/>
      <c r="W191" s="94" t="n"/>
      <c r="X191" s="94" t="n"/>
      <c r="Y191" s="94" t="n"/>
      <c r="Z191" s="94" t="n"/>
      <c r="AA191" s="94" t="n"/>
      <c r="AB191" s="94" t="n"/>
      <c r="AC191" s="94" t="n"/>
      <c r="AD191" s="94" t="n"/>
      <c r="AE191" s="94" t="n"/>
      <c r="AF191" s="94" t="n"/>
      <c r="AG191" s="94" t="n"/>
      <c r="AH191" s="94" t="n"/>
      <c r="AI191" s="94" t="n"/>
      <c r="AJ191" s="94" t="n"/>
      <c r="AK191" s="94" t="n"/>
      <c r="AL191" s="94" t="n"/>
      <c r="AM191" s="94" t="n"/>
      <c r="AN191" s="94" t="n"/>
      <c r="AO191" s="94" t="n"/>
      <c r="AP191" s="94" t="n"/>
      <c r="AQ191" s="94" t="n"/>
      <c r="AR191" s="94" t="n"/>
      <c r="AS191" s="94" t="n"/>
      <c r="AT191" s="94" t="n"/>
      <c r="AU191" s="94" t="n"/>
      <c r="AV191" s="94" t="n"/>
      <c r="AW191" s="94" t="n"/>
      <c r="AX191" s="94" t="n"/>
      <c r="AY191" s="94" t="n"/>
      <c r="AZ191" s="94" t="n"/>
      <c r="BA191" s="94" t="n"/>
      <c r="BB191" s="94" t="n"/>
      <c r="BC191" s="94" t="n"/>
      <c r="BD191" s="94" t="n"/>
    </row>
    <row r="192" ht="15.75" customHeight="1" s="163">
      <c r="A192" s="94" t="n"/>
      <c r="B192" s="94" t="n"/>
      <c r="C192" s="94" t="n"/>
      <c r="D192" s="94" t="n"/>
      <c r="E192" s="94" t="n"/>
      <c r="F192" s="94" t="n"/>
      <c r="G192" s="94" t="n"/>
      <c r="H192" s="94" t="n"/>
      <c r="I192" s="94" t="n"/>
      <c r="J192" s="94" t="n"/>
      <c r="K192" s="94" t="n"/>
      <c r="L192" s="94" t="n"/>
      <c r="M192" s="94" t="n"/>
      <c r="N192" s="94" t="n"/>
      <c r="O192" s="94" t="n"/>
      <c r="P192" s="94" t="n"/>
      <c r="Q192" s="94" t="n"/>
      <c r="R192" s="94" t="n"/>
      <c r="S192" s="94" t="n"/>
      <c r="T192" s="94" t="n"/>
      <c r="U192" s="94" t="n"/>
      <c r="V192" s="94" t="n"/>
      <c r="W192" s="94" t="n"/>
      <c r="X192" s="94" t="n"/>
      <c r="Y192" s="94" t="n"/>
      <c r="Z192" s="94" t="n"/>
      <c r="AA192" s="94" t="n"/>
      <c r="AB192" s="94" t="n"/>
      <c r="AC192" s="94" t="n"/>
      <c r="AD192" s="94" t="n"/>
      <c r="AE192" s="94" t="n"/>
      <c r="AF192" s="94" t="n"/>
      <c r="AG192" s="94" t="n"/>
      <c r="AH192" s="94" t="n"/>
      <c r="AI192" s="94" t="n"/>
      <c r="AJ192" s="94" t="n"/>
      <c r="AK192" s="94" t="n"/>
      <c r="AL192" s="94" t="n"/>
      <c r="AM192" s="94" t="n"/>
      <c r="AN192" s="94" t="n"/>
      <c r="AO192" s="94" t="n"/>
      <c r="AP192" s="94" t="n"/>
      <c r="AQ192" s="94" t="n"/>
      <c r="AR192" s="94" t="n"/>
      <c r="AS192" s="94" t="n"/>
      <c r="AT192" s="94" t="n"/>
      <c r="AU192" s="94" t="n"/>
      <c r="AV192" s="94" t="n"/>
      <c r="AW192" s="94" t="n"/>
      <c r="AX192" s="94" t="n"/>
      <c r="AY192" s="94" t="n"/>
      <c r="AZ192" s="94" t="n"/>
      <c r="BA192" s="94" t="n"/>
      <c r="BB192" s="94" t="n"/>
      <c r="BC192" s="94" t="n"/>
      <c r="BD192" s="94" t="n"/>
    </row>
    <row r="193" ht="15.75" customHeight="1" s="163">
      <c r="A193" s="94" t="n"/>
      <c r="B193" s="94" t="n"/>
      <c r="C193" s="94" t="n"/>
      <c r="D193" s="94" t="n"/>
      <c r="E193" s="94" t="n"/>
      <c r="F193" s="94" t="n"/>
      <c r="G193" s="94" t="n"/>
      <c r="H193" s="94" t="n"/>
      <c r="I193" s="94" t="n"/>
      <c r="J193" s="94" t="n"/>
      <c r="K193" s="94" t="n"/>
      <c r="L193" s="94" t="n"/>
      <c r="M193" s="94" t="n"/>
      <c r="N193" s="94" t="n"/>
      <c r="O193" s="94" t="n"/>
      <c r="P193" s="94" t="n"/>
      <c r="Q193" s="94" t="n"/>
      <c r="R193" s="94" t="n"/>
      <c r="S193" s="94" t="n"/>
      <c r="T193" s="94" t="n"/>
      <c r="U193" s="94" t="n"/>
      <c r="V193" s="94" t="n"/>
      <c r="W193" s="94" t="n"/>
      <c r="X193" s="94" t="n"/>
      <c r="Y193" s="94" t="n"/>
      <c r="Z193" s="94" t="n"/>
      <c r="AA193" s="94" t="n"/>
      <c r="AB193" s="94" t="n"/>
      <c r="AC193" s="94" t="n"/>
      <c r="AD193" s="94" t="n"/>
      <c r="AE193" s="94" t="n"/>
      <c r="AF193" s="94" t="n"/>
      <c r="AG193" s="94" t="n"/>
      <c r="AH193" s="94" t="n"/>
      <c r="AI193" s="94" t="n"/>
      <c r="AJ193" s="94" t="n"/>
      <c r="AK193" s="94" t="n"/>
      <c r="AL193" s="94" t="n"/>
      <c r="AM193" s="94" t="n"/>
      <c r="AN193" s="94" t="n"/>
      <c r="AO193" s="94" t="n"/>
      <c r="AP193" s="94" t="n"/>
      <c r="AQ193" s="94" t="n"/>
      <c r="AR193" s="94" t="n"/>
      <c r="AS193" s="94" t="n"/>
      <c r="AT193" s="94" t="n"/>
      <c r="AU193" s="94" t="n"/>
      <c r="AV193" s="94" t="n"/>
      <c r="AW193" s="94" t="n"/>
      <c r="AX193" s="94" t="n"/>
      <c r="AY193" s="94" t="n"/>
      <c r="AZ193" s="94" t="n"/>
      <c r="BA193" s="94" t="n"/>
      <c r="BB193" s="94" t="n"/>
      <c r="BC193" s="94" t="n"/>
      <c r="BD193" s="94" t="n"/>
    </row>
    <row r="194" ht="15.75" customHeight="1" s="163">
      <c r="A194" s="94" t="n"/>
      <c r="B194" s="94" t="n"/>
      <c r="C194" s="94" t="n"/>
      <c r="D194" s="94" t="n"/>
      <c r="E194" s="94" t="n"/>
      <c r="F194" s="94" t="n"/>
      <c r="G194" s="94" t="n"/>
      <c r="H194" s="94" t="n"/>
      <c r="I194" s="94" t="n"/>
      <c r="J194" s="94" t="n"/>
      <c r="K194" s="94" t="n"/>
      <c r="L194" s="94" t="n"/>
      <c r="M194" s="94" t="n"/>
      <c r="N194" s="94" t="n"/>
      <c r="O194" s="94" t="n"/>
      <c r="P194" s="94" t="n"/>
      <c r="Q194" s="94" t="n"/>
      <c r="R194" s="94" t="n"/>
      <c r="S194" s="94" t="n"/>
      <c r="T194" s="94" t="n"/>
      <c r="U194" s="94" t="n"/>
      <c r="V194" s="94" t="n"/>
      <c r="W194" s="94" t="n"/>
      <c r="X194" s="94" t="n"/>
      <c r="Y194" s="94" t="n"/>
      <c r="Z194" s="94" t="n"/>
      <c r="AA194" s="94" t="n"/>
      <c r="AB194" s="94" t="n"/>
      <c r="AC194" s="94" t="n"/>
      <c r="AD194" s="94" t="n"/>
      <c r="AE194" s="94" t="n"/>
      <c r="AF194" s="94" t="n"/>
      <c r="AG194" s="94" t="n"/>
      <c r="AH194" s="94" t="n"/>
      <c r="AI194" s="94" t="n"/>
      <c r="AJ194" s="94" t="n"/>
      <c r="AK194" s="94" t="n"/>
      <c r="AL194" s="94" t="n"/>
      <c r="AM194" s="94" t="n"/>
      <c r="AN194" s="94" t="n"/>
      <c r="AO194" s="94" t="n"/>
      <c r="AP194" s="94" t="n"/>
      <c r="AQ194" s="94" t="n"/>
      <c r="AR194" s="94" t="n"/>
      <c r="AS194" s="94" t="n"/>
      <c r="AT194" s="94" t="n"/>
      <c r="AU194" s="94" t="n"/>
      <c r="AV194" s="94" t="n"/>
      <c r="AW194" s="94" t="n"/>
      <c r="AX194" s="94" t="n"/>
      <c r="AY194" s="94" t="n"/>
      <c r="AZ194" s="94" t="n"/>
      <c r="BA194" s="94" t="n"/>
      <c r="BB194" s="94" t="n"/>
      <c r="BC194" s="94" t="n"/>
      <c r="BD194" s="94" t="n"/>
    </row>
    <row r="195" ht="15.75" customHeight="1" s="163">
      <c r="A195" s="94" t="n"/>
      <c r="B195" s="94" t="n"/>
      <c r="C195" s="94" t="n"/>
      <c r="D195" s="94" t="n"/>
      <c r="E195" s="94" t="n"/>
      <c r="F195" s="94" t="n"/>
      <c r="G195" s="94" t="n"/>
      <c r="H195" s="94" t="n"/>
      <c r="I195" s="94" t="n"/>
      <c r="J195" s="94" t="n"/>
      <c r="K195" s="94" t="n"/>
      <c r="L195" s="94" t="n"/>
      <c r="M195" s="94" t="n"/>
      <c r="N195" s="94" t="n"/>
      <c r="O195" s="94" t="n"/>
      <c r="P195" s="94" t="n"/>
      <c r="Q195" s="94" t="n"/>
      <c r="R195" s="94" t="n"/>
      <c r="S195" s="94" t="n"/>
      <c r="T195" s="94" t="n"/>
      <c r="U195" s="94" t="n"/>
      <c r="V195" s="94" t="n"/>
      <c r="W195" s="94" t="n"/>
      <c r="X195" s="94" t="n"/>
      <c r="Y195" s="94" t="n"/>
      <c r="Z195" s="94" t="n"/>
      <c r="AA195" s="94" t="n"/>
      <c r="AB195" s="94" t="n"/>
      <c r="AC195" s="94" t="n"/>
      <c r="AD195" s="94" t="n"/>
      <c r="AE195" s="94" t="n"/>
      <c r="AF195" s="94" t="n"/>
      <c r="AG195" s="94" t="n"/>
      <c r="AH195" s="94" t="n"/>
      <c r="AI195" s="94" t="n"/>
      <c r="AJ195" s="94" t="n"/>
      <c r="AK195" s="94" t="n"/>
      <c r="AL195" s="94" t="n"/>
      <c r="AM195" s="94" t="n"/>
      <c r="AN195" s="94" t="n"/>
      <c r="AO195" s="94" t="n"/>
      <c r="AP195" s="94" t="n"/>
      <c r="AQ195" s="94" t="n"/>
      <c r="AR195" s="94" t="n"/>
      <c r="AS195" s="94" t="n"/>
      <c r="AT195" s="94" t="n"/>
      <c r="AU195" s="94" t="n"/>
      <c r="AV195" s="94" t="n"/>
      <c r="AW195" s="94" t="n"/>
      <c r="AX195" s="94" t="n"/>
      <c r="AY195" s="94" t="n"/>
      <c r="AZ195" s="94" t="n"/>
      <c r="BA195" s="94" t="n"/>
      <c r="BB195" s="94" t="n"/>
      <c r="BC195" s="94" t="n"/>
      <c r="BD195" s="94" t="n"/>
    </row>
    <row r="196" ht="15.75" customHeight="1" s="163">
      <c r="A196" s="94" t="n"/>
      <c r="B196" s="94" t="n"/>
      <c r="C196" s="94" t="n"/>
      <c r="D196" s="94" t="n"/>
      <c r="E196" s="94" t="n"/>
      <c r="F196" s="94" t="n"/>
      <c r="G196" s="94" t="n"/>
      <c r="H196" s="94" t="n"/>
      <c r="I196" s="94" t="n"/>
      <c r="J196" s="94" t="n"/>
      <c r="K196" s="94" t="n"/>
      <c r="L196" s="94" t="n"/>
      <c r="M196" s="94" t="n"/>
      <c r="N196" s="94" t="n"/>
      <c r="O196" s="94" t="n"/>
      <c r="P196" s="94" t="n"/>
      <c r="Q196" s="94" t="n"/>
      <c r="R196" s="94" t="n"/>
      <c r="S196" s="94" t="n"/>
      <c r="T196" s="94" t="n"/>
      <c r="U196" s="94" t="n"/>
      <c r="V196" s="94" t="n"/>
      <c r="W196" s="94" t="n"/>
      <c r="X196" s="94" t="n"/>
      <c r="Y196" s="94" t="n"/>
      <c r="Z196" s="94" t="n"/>
      <c r="AA196" s="94" t="n"/>
      <c r="AB196" s="94" t="n"/>
      <c r="AC196" s="94" t="n"/>
      <c r="AD196" s="94" t="n"/>
      <c r="AE196" s="94" t="n"/>
      <c r="AF196" s="94" t="n"/>
      <c r="AG196" s="94" t="n"/>
      <c r="AH196" s="94" t="n"/>
      <c r="AI196" s="94" t="n"/>
      <c r="AJ196" s="94" t="n"/>
      <c r="AK196" s="94" t="n"/>
      <c r="AL196" s="94" t="n"/>
      <c r="AM196" s="94" t="n"/>
      <c r="AN196" s="94" t="n"/>
      <c r="AO196" s="94" t="n"/>
      <c r="AP196" s="94" t="n"/>
      <c r="AQ196" s="94" t="n"/>
      <c r="AR196" s="94" t="n"/>
      <c r="AS196" s="94" t="n"/>
      <c r="AT196" s="94" t="n"/>
      <c r="AU196" s="94" t="n"/>
      <c r="AV196" s="94" t="n"/>
      <c r="AW196" s="94" t="n"/>
      <c r="AX196" s="94" t="n"/>
      <c r="AY196" s="94" t="n"/>
      <c r="AZ196" s="94" t="n"/>
      <c r="BA196" s="94" t="n"/>
      <c r="BB196" s="94" t="n"/>
      <c r="BC196" s="94" t="n"/>
      <c r="BD196" s="94" t="n"/>
    </row>
    <row r="197" ht="15.75" customHeight="1" s="163">
      <c r="A197" s="94" t="n"/>
      <c r="B197" s="94" t="n"/>
      <c r="C197" s="94" t="n"/>
      <c r="D197" s="94" t="n"/>
      <c r="E197" s="94" t="n"/>
      <c r="F197" s="94" t="n"/>
      <c r="G197" s="94" t="n"/>
      <c r="H197" s="94" t="n"/>
      <c r="I197" s="94" t="n"/>
      <c r="J197" s="94" t="n"/>
      <c r="K197" s="94" t="n"/>
      <c r="L197" s="94" t="n"/>
      <c r="M197" s="94" t="n"/>
      <c r="N197" s="94" t="n"/>
      <c r="O197" s="94" t="n"/>
      <c r="P197" s="94" t="n"/>
      <c r="Q197" s="94" t="n"/>
      <c r="R197" s="94" t="n"/>
      <c r="S197" s="94" t="n"/>
      <c r="T197" s="94" t="n"/>
      <c r="U197" s="94" t="n"/>
      <c r="V197" s="94" t="n"/>
      <c r="W197" s="94" t="n"/>
      <c r="X197" s="94" t="n"/>
      <c r="Y197" s="94" t="n"/>
      <c r="Z197" s="94" t="n"/>
      <c r="AA197" s="94" t="n"/>
      <c r="AB197" s="94" t="n"/>
      <c r="AC197" s="94" t="n"/>
      <c r="AD197" s="94" t="n"/>
      <c r="AE197" s="94" t="n"/>
      <c r="AF197" s="94" t="n"/>
      <c r="AG197" s="94" t="n"/>
      <c r="AH197" s="94" t="n"/>
      <c r="AI197" s="94" t="n"/>
      <c r="AJ197" s="94" t="n"/>
      <c r="AK197" s="94" t="n"/>
      <c r="AL197" s="94" t="n"/>
      <c r="AM197" s="94" t="n"/>
      <c r="AN197" s="94" t="n"/>
      <c r="AO197" s="94" t="n"/>
      <c r="AP197" s="94" t="n"/>
      <c r="AQ197" s="94" t="n"/>
      <c r="AR197" s="94" t="n"/>
      <c r="AS197" s="94" t="n"/>
      <c r="AT197" s="94" t="n"/>
      <c r="AU197" s="94" t="n"/>
      <c r="AV197" s="94" t="n"/>
      <c r="AW197" s="94" t="n"/>
      <c r="AX197" s="94" t="n"/>
      <c r="AY197" s="94" t="n"/>
      <c r="AZ197" s="94" t="n"/>
      <c r="BA197" s="94" t="n"/>
      <c r="BB197" s="94" t="n"/>
      <c r="BC197" s="94" t="n"/>
      <c r="BD197" s="94" t="n"/>
    </row>
    <row r="198" ht="15.75" customHeight="1" s="163">
      <c r="A198" s="94" t="n"/>
      <c r="B198" s="94" t="n"/>
      <c r="C198" s="94" t="n"/>
      <c r="D198" s="94" t="n"/>
      <c r="E198" s="94" t="n"/>
      <c r="F198" s="94" t="n"/>
      <c r="G198" s="94" t="n"/>
      <c r="H198" s="94" t="n"/>
      <c r="I198" s="94" t="n"/>
      <c r="J198" s="94" t="n"/>
      <c r="K198" s="94" t="n"/>
      <c r="L198" s="94" t="n"/>
      <c r="M198" s="94" t="n"/>
      <c r="N198" s="94" t="n"/>
      <c r="O198" s="94" t="n"/>
      <c r="P198" s="94" t="n"/>
      <c r="Q198" s="94" t="n"/>
      <c r="R198" s="94" t="n"/>
      <c r="S198" s="94" t="n"/>
      <c r="T198" s="94" t="n"/>
      <c r="U198" s="94" t="n"/>
      <c r="V198" s="94" t="n"/>
      <c r="W198" s="94" t="n"/>
      <c r="X198" s="94" t="n"/>
      <c r="Y198" s="94" t="n"/>
      <c r="Z198" s="94" t="n"/>
      <c r="AA198" s="94" t="n"/>
      <c r="AB198" s="94" t="n"/>
      <c r="AC198" s="94" t="n"/>
      <c r="AD198" s="94" t="n"/>
      <c r="AE198" s="94" t="n"/>
      <c r="AF198" s="94" t="n"/>
      <c r="AG198" s="94" t="n"/>
      <c r="AH198" s="94" t="n"/>
      <c r="AI198" s="94" t="n"/>
      <c r="AJ198" s="94" t="n"/>
      <c r="AK198" s="94" t="n"/>
      <c r="AL198" s="94" t="n"/>
      <c r="AM198" s="94" t="n"/>
      <c r="AN198" s="94" t="n"/>
      <c r="AO198" s="94" t="n"/>
      <c r="AP198" s="94" t="n"/>
      <c r="AQ198" s="94" t="n"/>
      <c r="AR198" s="94" t="n"/>
      <c r="AS198" s="94" t="n"/>
      <c r="AT198" s="94" t="n"/>
      <c r="AU198" s="94" t="n"/>
      <c r="AV198" s="94" t="n"/>
      <c r="AW198" s="94" t="n"/>
      <c r="AX198" s="94" t="n"/>
      <c r="AY198" s="94" t="n"/>
      <c r="AZ198" s="94" t="n"/>
      <c r="BA198" s="94" t="n"/>
      <c r="BB198" s="94" t="n"/>
      <c r="BC198" s="94" t="n"/>
      <c r="BD198" s="94" t="n"/>
    </row>
    <row r="199" ht="15.75" customHeight="1" s="163">
      <c r="A199" s="94" t="n"/>
      <c r="B199" s="94" t="n"/>
      <c r="C199" s="94" t="n"/>
      <c r="D199" s="94" t="n"/>
      <c r="E199" s="94" t="n"/>
      <c r="F199" s="94" t="n"/>
      <c r="G199" s="94" t="n"/>
      <c r="H199" s="94" t="n"/>
      <c r="I199" s="94" t="n"/>
      <c r="J199" s="94" t="n"/>
      <c r="K199" s="94" t="n"/>
      <c r="L199" s="94" t="n"/>
      <c r="M199" s="94" t="n"/>
      <c r="N199" s="94" t="n"/>
      <c r="O199" s="94" t="n"/>
      <c r="P199" s="94" t="n"/>
      <c r="Q199" s="94" t="n"/>
      <c r="R199" s="94" t="n"/>
      <c r="S199" s="94" t="n"/>
      <c r="T199" s="94" t="n"/>
      <c r="U199" s="94" t="n"/>
      <c r="V199" s="94" t="n"/>
      <c r="W199" s="94" t="n"/>
      <c r="X199" s="94" t="n"/>
      <c r="Y199" s="94" t="n"/>
      <c r="Z199" s="94" t="n"/>
      <c r="AA199" s="94" t="n"/>
      <c r="AB199" s="94" t="n"/>
      <c r="AC199" s="94" t="n"/>
      <c r="AD199" s="94" t="n"/>
      <c r="AE199" s="94" t="n"/>
      <c r="AF199" s="94" t="n"/>
      <c r="AG199" s="94" t="n"/>
      <c r="AH199" s="94" t="n"/>
      <c r="AI199" s="94" t="n"/>
      <c r="AJ199" s="94" t="n"/>
      <c r="AK199" s="94" t="n"/>
      <c r="AL199" s="94" t="n"/>
      <c r="AM199" s="94" t="n"/>
      <c r="AN199" s="94" t="n"/>
      <c r="AO199" s="94" t="n"/>
      <c r="AP199" s="94" t="n"/>
      <c r="AQ199" s="94" t="n"/>
      <c r="AR199" s="94" t="n"/>
      <c r="AS199" s="94" t="n"/>
      <c r="AT199" s="94" t="n"/>
      <c r="AU199" s="94" t="n"/>
      <c r="AV199" s="94" t="n"/>
      <c r="AW199" s="94" t="n"/>
      <c r="AX199" s="94" t="n"/>
      <c r="AY199" s="94" t="n"/>
      <c r="AZ199" s="94" t="n"/>
      <c r="BA199" s="94" t="n"/>
      <c r="BB199" s="94" t="n"/>
      <c r="BC199" s="94" t="n"/>
      <c r="BD199" s="94" t="n"/>
    </row>
    <row r="200" ht="15.75" customHeight="1" s="163">
      <c r="A200" s="94" t="n"/>
      <c r="B200" s="94" t="n"/>
      <c r="C200" s="94" t="n"/>
      <c r="D200" s="94" t="n"/>
      <c r="E200" s="94" t="n"/>
      <c r="F200" s="94" t="n"/>
      <c r="G200" s="94" t="n"/>
      <c r="H200" s="94" t="n"/>
      <c r="I200" s="94" t="n"/>
      <c r="J200" s="94" t="n"/>
      <c r="K200" s="94" t="n"/>
      <c r="L200" s="94" t="n"/>
      <c r="M200" s="94" t="n"/>
      <c r="N200" s="94" t="n"/>
      <c r="O200" s="94" t="n"/>
      <c r="P200" s="94" t="n"/>
      <c r="Q200" s="94" t="n"/>
      <c r="R200" s="94" t="n"/>
      <c r="S200" s="94" t="n"/>
      <c r="T200" s="94" t="n"/>
      <c r="U200" s="94" t="n"/>
      <c r="V200" s="94" t="n"/>
      <c r="W200" s="94" t="n"/>
      <c r="X200" s="94" t="n"/>
      <c r="Y200" s="94" t="n"/>
      <c r="Z200" s="94" t="n"/>
      <c r="AA200" s="94" t="n"/>
      <c r="AB200" s="94" t="n"/>
      <c r="AC200" s="94" t="n"/>
      <c r="AD200" s="94" t="n"/>
      <c r="AE200" s="94" t="n"/>
      <c r="AF200" s="94" t="n"/>
      <c r="AG200" s="94" t="n"/>
      <c r="AH200" s="94" t="n"/>
      <c r="AI200" s="94" t="n"/>
      <c r="AJ200" s="94" t="n"/>
      <c r="AK200" s="94" t="n"/>
      <c r="AL200" s="94" t="n"/>
      <c r="AM200" s="94" t="n"/>
      <c r="AN200" s="94" t="n"/>
      <c r="AO200" s="94" t="n"/>
      <c r="AP200" s="94" t="n"/>
      <c r="AQ200" s="94" t="n"/>
      <c r="AR200" s="94" t="n"/>
      <c r="AS200" s="94" t="n"/>
      <c r="AT200" s="94" t="n"/>
      <c r="AU200" s="94" t="n"/>
      <c r="AV200" s="94" t="n"/>
      <c r="AW200" s="94" t="n"/>
      <c r="AX200" s="94" t="n"/>
      <c r="AY200" s="94" t="n"/>
      <c r="AZ200" s="94" t="n"/>
      <c r="BA200" s="94" t="n"/>
      <c r="BB200" s="94" t="n"/>
      <c r="BC200" s="94" t="n"/>
      <c r="BD200" s="94" t="n"/>
    </row>
    <row r="201" ht="15.75" customHeight="1" s="163">
      <c r="A201" s="94" t="n"/>
      <c r="B201" s="94" t="n"/>
      <c r="C201" s="94" t="n"/>
      <c r="D201" s="94" t="n"/>
      <c r="E201" s="94" t="n"/>
      <c r="F201" s="94" t="n"/>
      <c r="G201" s="94" t="n"/>
      <c r="H201" s="94" t="n"/>
      <c r="I201" s="94" t="n"/>
      <c r="J201" s="94" t="n"/>
      <c r="K201" s="94" t="n"/>
      <c r="L201" s="94" t="n"/>
      <c r="M201" s="94" t="n"/>
      <c r="N201" s="94" t="n"/>
      <c r="O201" s="94" t="n"/>
      <c r="P201" s="94" t="n"/>
      <c r="Q201" s="94" t="n"/>
      <c r="R201" s="94" t="n"/>
      <c r="S201" s="94" t="n"/>
      <c r="T201" s="94" t="n"/>
      <c r="U201" s="94" t="n"/>
      <c r="V201" s="94" t="n"/>
      <c r="W201" s="94" t="n"/>
      <c r="X201" s="94" t="n"/>
      <c r="Y201" s="94" t="n"/>
      <c r="Z201" s="94" t="n"/>
      <c r="AA201" s="94" t="n"/>
      <c r="AB201" s="94" t="n"/>
      <c r="AC201" s="94" t="n"/>
      <c r="AD201" s="94" t="n"/>
      <c r="AE201" s="94" t="n"/>
      <c r="AF201" s="94" t="n"/>
      <c r="AG201" s="94" t="n"/>
      <c r="AH201" s="94" t="n"/>
      <c r="AI201" s="94" t="n"/>
      <c r="AJ201" s="94" t="n"/>
      <c r="AK201" s="94" t="n"/>
      <c r="AL201" s="94" t="n"/>
      <c r="AM201" s="94" t="n"/>
      <c r="AN201" s="94" t="n"/>
      <c r="AO201" s="94" t="n"/>
      <c r="AP201" s="94" t="n"/>
      <c r="AQ201" s="94" t="n"/>
      <c r="AR201" s="94" t="n"/>
      <c r="AS201" s="94" t="n"/>
      <c r="AT201" s="94" t="n"/>
      <c r="AU201" s="94" t="n"/>
      <c r="AV201" s="94" t="n"/>
      <c r="AW201" s="94" t="n"/>
      <c r="AX201" s="94" t="n"/>
      <c r="AY201" s="94" t="n"/>
      <c r="AZ201" s="94" t="n"/>
      <c r="BA201" s="94" t="n"/>
      <c r="BB201" s="94" t="n"/>
      <c r="BC201" s="94" t="n"/>
      <c r="BD201" s="94" t="n"/>
    </row>
    <row r="202" ht="15.75" customHeight="1" s="163">
      <c r="A202" s="94" t="n"/>
      <c r="B202" s="94" t="n"/>
      <c r="C202" s="94" t="n"/>
      <c r="D202" s="94" t="n"/>
      <c r="E202" s="94" t="n"/>
      <c r="F202" s="94" t="n"/>
      <c r="G202" s="94" t="n"/>
      <c r="H202" s="94" t="n"/>
      <c r="I202" s="94" t="n"/>
      <c r="J202" s="94" t="n"/>
      <c r="K202" s="94" t="n"/>
      <c r="L202" s="94" t="n"/>
      <c r="M202" s="94" t="n"/>
      <c r="N202" s="94" t="n"/>
      <c r="O202" s="94" t="n"/>
      <c r="P202" s="94" t="n"/>
      <c r="Q202" s="94" t="n"/>
      <c r="R202" s="94" t="n"/>
      <c r="S202" s="94" t="n"/>
      <c r="T202" s="94" t="n"/>
      <c r="U202" s="94" t="n"/>
      <c r="V202" s="94" t="n"/>
      <c r="W202" s="94" t="n"/>
      <c r="X202" s="94" t="n"/>
      <c r="Y202" s="94" t="n"/>
      <c r="Z202" s="94" t="n"/>
      <c r="AA202" s="94" t="n"/>
      <c r="AB202" s="94" t="n"/>
      <c r="AC202" s="94" t="n"/>
      <c r="AD202" s="94" t="n"/>
      <c r="AE202" s="94" t="n"/>
      <c r="AF202" s="94" t="n"/>
      <c r="AG202" s="94" t="n"/>
      <c r="AH202" s="94" t="n"/>
      <c r="AI202" s="94" t="n"/>
      <c r="AJ202" s="94" t="n"/>
      <c r="AK202" s="94" t="n"/>
      <c r="AL202" s="94" t="n"/>
      <c r="AM202" s="94" t="n"/>
      <c r="AN202" s="94" t="n"/>
      <c r="AO202" s="94" t="n"/>
      <c r="AP202" s="94" t="n"/>
      <c r="AQ202" s="94" t="n"/>
      <c r="AR202" s="94" t="n"/>
      <c r="AS202" s="94" t="n"/>
      <c r="AT202" s="94" t="n"/>
      <c r="AU202" s="94" t="n"/>
      <c r="AV202" s="94" t="n"/>
      <c r="AW202" s="94" t="n"/>
      <c r="AX202" s="94" t="n"/>
      <c r="AY202" s="94" t="n"/>
      <c r="AZ202" s="94" t="n"/>
      <c r="BA202" s="94" t="n"/>
      <c r="BB202" s="94" t="n"/>
      <c r="BC202" s="94" t="n"/>
      <c r="BD202" s="94" t="n"/>
    </row>
    <row r="203" ht="15.75" customHeight="1" s="163">
      <c r="A203" s="94" t="n"/>
      <c r="B203" s="94" t="n"/>
      <c r="C203" s="94" t="n"/>
      <c r="D203" s="94" t="n"/>
      <c r="E203" s="94" t="n"/>
      <c r="F203" s="94" t="n"/>
      <c r="G203" s="94" t="n"/>
      <c r="H203" s="94" t="n"/>
      <c r="I203" s="94" t="n"/>
      <c r="J203" s="94" t="n"/>
      <c r="K203" s="94" t="n"/>
      <c r="L203" s="94" t="n"/>
      <c r="M203" s="94" t="n"/>
      <c r="N203" s="94" t="n"/>
      <c r="O203" s="94" t="n"/>
      <c r="P203" s="94" t="n"/>
      <c r="Q203" s="94" t="n"/>
      <c r="R203" s="94" t="n"/>
      <c r="S203" s="94" t="n"/>
      <c r="T203" s="94" t="n"/>
      <c r="U203" s="94" t="n"/>
      <c r="V203" s="94" t="n"/>
      <c r="W203" s="94" t="n"/>
      <c r="X203" s="94" t="n"/>
      <c r="Y203" s="94" t="n"/>
      <c r="Z203" s="94" t="n"/>
      <c r="AA203" s="94" t="n"/>
      <c r="AB203" s="94" t="n"/>
      <c r="AC203" s="94" t="n"/>
      <c r="AD203" s="94" t="n"/>
      <c r="AE203" s="94" t="n"/>
      <c r="AF203" s="94" t="n"/>
      <c r="AG203" s="94" t="n"/>
      <c r="AH203" s="94" t="n"/>
      <c r="AI203" s="94" t="n"/>
      <c r="AJ203" s="94" t="n"/>
      <c r="AK203" s="94" t="n"/>
      <c r="AL203" s="94" t="n"/>
      <c r="AM203" s="94" t="n"/>
      <c r="AN203" s="94" t="n"/>
      <c r="AO203" s="94" t="n"/>
      <c r="AP203" s="94" t="n"/>
      <c r="AQ203" s="94" t="n"/>
      <c r="AR203" s="94" t="n"/>
      <c r="AS203" s="94" t="n"/>
      <c r="AT203" s="94" t="n"/>
      <c r="AU203" s="94" t="n"/>
      <c r="AV203" s="94" t="n"/>
      <c r="AW203" s="94" t="n"/>
      <c r="AX203" s="94" t="n"/>
      <c r="AY203" s="94" t="n"/>
      <c r="AZ203" s="94" t="n"/>
      <c r="BA203" s="94" t="n"/>
      <c r="BB203" s="94" t="n"/>
      <c r="BC203" s="94" t="n"/>
      <c r="BD203" s="94" t="n"/>
    </row>
    <row r="204" ht="15.75" customHeight="1" s="163">
      <c r="A204" s="94" t="n"/>
      <c r="B204" s="94" t="n"/>
      <c r="C204" s="94" t="n"/>
      <c r="D204" s="94" t="n"/>
      <c r="E204" s="94" t="n"/>
      <c r="F204" s="94" t="n"/>
      <c r="G204" s="94" t="n"/>
      <c r="H204" s="94" t="n"/>
      <c r="I204" s="94" t="n"/>
      <c r="J204" s="94" t="n"/>
      <c r="K204" s="94" t="n"/>
      <c r="L204" s="94" t="n"/>
      <c r="M204" s="94" t="n"/>
      <c r="N204" s="94" t="n"/>
      <c r="O204" s="94" t="n"/>
      <c r="P204" s="94" t="n"/>
      <c r="Q204" s="94" t="n"/>
      <c r="R204" s="94" t="n"/>
      <c r="S204" s="94" t="n"/>
      <c r="T204" s="94" t="n"/>
      <c r="U204" s="94" t="n"/>
      <c r="V204" s="94" t="n"/>
      <c r="W204" s="94" t="n"/>
      <c r="X204" s="94" t="n"/>
      <c r="Y204" s="94" t="n"/>
      <c r="Z204" s="94" t="n"/>
      <c r="AA204" s="94" t="n"/>
      <c r="AB204" s="94" t="n"/>
      <c r="AC204" s="94" t="n"/>
      <c r="AD204" s="94" t="n"/>
      <c r="AE204" s="94" t="n"/>
      <c r="AF204" s="94" t="n"/>
      <c r="AG204" s="94" t="n"/>
      <c r="AH204" s="94" t="n"/>
      <c r="AI204" s="94" t="n"/>
      <c r="AJ204" s="94" t="n"/>
      <c r="AK204" s="94" t="n"/>
      <c r="AL204" s="94" t="n"/>
      <c r="AM204" s="94" t="n"/>
      <c r="AN204" s="94" t="n"/>
      <c r="AO204" s="94" t="n"/>
      <c r="AP204" s="94" t="n"/>
      <c r="AQ204" s="94" t="n"/>
      <c r="AR204" s="94" t="n"/>
      <c r="AS204" s="94" t="n"/>
      <c r="AT204" s="94" t="n"/>
      <c r="AU204" s="94" t="n"/>
      <c r="AV204" s="94" t="n"/>
      <c r="AW204" s="94" t="n"/>
      <c r="AX204" s="94" t="n"/>
      <c r="AY204" s="94" t="n"/>
      <c r="AZ204" s="94" t="n"/>
      <c r="BA204" s="94" t="n"/>
      <c r="BB204" s="94" t="n"/>
      <c r="BC204" s="94" t="n"/>
      <c r="BD204" s="94" t="n"/>
    </row>
    <row r="205" ht="15.75" customHeight="1" s="163">
      <c r="A205" s="94" t="n"/>
      <c r="B205" s="94" t="n"/>
      <c r="C205" s="94" t="n"/>
      <c r="D205" s="94" t="n"/>
      <c r="E205" s="94" t="n"/>
      <c r="F205" s="94" t="n"/>
      <c r="G205" s="94" t="n"/>
      <c r="H205" s="94" t="n"/>
      <c r="I205" s="94" t="n"/>
      <c r="J205" s="94" t="n"/>
      <c r="K205" s="94" t="n"/>
      <c r="L205" s="94" t="n"/>
      <c r="M205" s="94" t="n"/>
      <c r="N205" s="94" t="n"/>
      <c r="O205" s="94" t="n"/>
      <c r="P205" s="94" t="n"/>
      <c r="Q205" s="94" t="n"/>
      <c r="R205" s="94" t="n"/>
      <c r="S205" s="94" t="n"/>
      <c r="T205" s="94" t="n"/>
      <c r="U205" s="94" t="n"/>
      <c r="V205" s="94" t="n"/>
      <c r="W205" s="94" t="n"/>
      <c r="X205" s="94" t="n"/>
      <c r="Y205" s="94" t="n"/>
      <c r="Z205" s="94" t="n"/>
      <c r="AA205" s="94" t="n"/>
      <c r="AB205" s="94" t="n"/>
      <c r="AC205" s="94" t="n"/>
      <c r="AD205" s="94" t="n"/>
      <c r="AE205" s="94" t="n"/>
      <c r="AF205" s="94" t="n"/>
      <c r="AG205" s="94" t="n"/>
      <c r="AH205" s="94" t="n"/>
      <c r="AI205" s="94" t="n"/>
      <c r="AJ205" s="94" t="n"/>
      <c r="AK205" s="94" t="n"/>
      <c r="AL205" s="94" t="n"/>
      <c r="AM205" s="94" t="n"/>
      <c r="AN205" s="94" t="n"/>
      <c r="AO205" s="94" t="n"/>
      <c r="AP205" s="94" t="n"/>
      <c r="AQ205" s="94" t="n"/>
      <c r="AR205" s="94" t="n"/>
      <c r="AS205" s="94" t="n"/>
      <c r="AT205" s="94" t="n"/>
      <c r="AU205" s="94" t="n"/>
      <c r="AV205" s="94" t="n"/>
      <c r="AW205" s="94" t="n"/>
      <c r="AX205" s="94" t="n"/>
      <c r="AY205" s="94" t="n"/>
      <c r="AZ205" s="94" t="n"/>
      <c r="BA205" s="94" t="n"/>
      <c r="BB205" s="94" t="n"/>
      <c r="BC205" s="94" t="n"/>
      <c r="BD205" s="94" t="n"/>
    </row>
    <row r="206" ht="15.75" customHeight="1" s="163">
      <c r="A206" s="94" t="n"/>
      <c r="B206" s="94" t="n"/>
      <c r="C206" s="94" t="n"/>
      <c r="D206" s="94" t="n"/>
      <c r="E206" s="94" t="n"/>
      <c r="F206" s="94" t="n"/>
      <c r="G206" s="94" t="n"/>
      <c r="H206" s="94" t="n"/>
      <c r="I206" s="94" t="n"/>
      <c r="J206" s="94" t="n"/>
      <c r="K206" s="94" t="n"/>
      <c r="L206" s="94" t="n"/>
      <c r="M206" s="94" t="n"/>
      <c r="N206" s="94" t="n"/>
      <c r="O206" s="94" t="n"/>
      <c r="P206" s="94" t="n"/>
      <c r="Q206" s="94" t="n"/>
      <c r="R206" s="94" t="n"/>
      <c r="S206" s="94" t="n"/>
      <c r="T206" s="94" t="n"/>
      <c r="U206" s="94" t="n"/>
      <c r="V206" s="94" t="n"/>
      <c r="W206" s="94" t="n"/>
      <c r="X206" s="94" t="n"/>
      <c r="Y206" s="94" t="n"/>
      <c r="Z206" s="94" t="n"/>
      <c r="AA206" s="94" t="n"/>
      <c r="AB206" s="94" t="n"/>
      <c r="AC206" s="94" t="n"/>
      <c r="AD206" s="94" t="n"/>
      <c r="AE206" s="94" t="n"/>
      <c r="AF206" s="94" t="n"/>
      <c r="AG206" s="94" t="n"/>
      <c r="AH206" s="94" t="n"/>
      <c r="AI206" s="94" t="n"/>
      <c r="AJ206" s="94" t="n"/>
      <c r="AK206" s="94" t="n"/>
      <c r="AL206" s="94" t="n"/>
      <c r="AM206" s="94" t="n"/>
      <c r="AN206" s="94" t="n"/>
      <c r="AO206" s="94" t="n"/>
      <c r="AP206" s="94" t="n"/>
      <c r="AQ206" s="94" t="n"/>
      <c r="AR206" s="94" t="n"/>
      <c r="AS206" s="94" t="n"/>
      <c r="AT206" s="94" t="n"/>
      <c r="AU206" s="94" t="n"/>
      <c r="AV206" s="94" t="n"/>
      <c r="AW206" s="94" t="n"/>
      <c r="AX206" s="94" t="n"/>
      <c r="AY206" s="94" t="n"/>
      <c r="AZ206" s="94" t="n"/>
      <c r="BA206" s="94" t="n"/>
      <c r="BB206" s="94" t="n"/>
      <c r="BC206" s="94" t="n"/>
      <c r="BD206" s="94" t="n"/>
    </row>
    <row r="207" ht="15.75" customHeight="1" s="163">
      <c r="A207" s="94" t="n"/>
      <c r="B207" s="94" t="n"/>
      <c r="C207" s="94" t="n"/>
      <c r="D207" s="94" t="n"/>
      <c r="E207" s="94" t="n"/>
      <c r="F207" s="94" t="n"/>
      <c r="G207" s="94" t="n"/>
      <c r="H207" s="94" t="n"/>
      <c r="I207" s="94" t="n"/>
      <c r="J207" s="94" t="n"/>
      <c r="K207" s="94" t="n"/>
      <c r="L207" s="94" t="n"/>
      <c r="M207" s="94" t="n"/>
      <c r="N207" s="94" t="n"/>
      <c r="O207" s="94" t="n"/>
      <c r="P207" s="94" t="n"/>
      <c r="Q207" s="94" t="n"/>
      <c r="R207" s="94" t="n"/>
      <c r="S207" s="94" t="n"/>
      <c r="T207" s="94" t="n"/>
      <c r="U207" s="94" t="n"/>
      <c r="V207" s="94" t="n"/>
      <c r="W207" s="94" t="n"/>
      <c r="X207" s="94" t="n"/>
      <c r="Y207" s="94" t="n"/>
      <c r="Z207" s="94" t="n"/>
      <c r="AA207" s="94" t="n"/>
      <c r="AB207" s="94" t="n"/>
      <c r="AC207" s="94" t="n"/>
      <c r="AD207" s="94" t="n"/>
      <c r="AE207" s="94" t="n"/>
      <c r="AF207" s="94" t="n"/>
      <c r="AG207" s="94" t="n"/>
      <c r="AH207" s="94" t="n"/>
      <c r="AI207" s="94" t="n"/>
      <c r="AJ207" s="94" t="n"/>
      <c r="AK207" s="94" t="n"/>
      <c r="AL207" s="94" t="n"/>
      <c r="AM207" s="94" t="n"/>
      <c r="AN207" s="94" t="n"/>
      <c r="AO207" s="94" t="n"/>
      <c r="AP207" s="94" t="n"/>
      <c r="AQ207" s="94" t="n"/>
      <c r="AR207" s="94" t="n"/>
      <c r="AS207" s="94" t="n"/>
      <c r="AT207" s="94" t="n"/>
      <c r="AU207" s="94" t="n"/>
      <c r="AV207" s="94" t="n"/>
      <c r="AW207" s="94" t="n"/>
      <c r="AX207" s="94" t="n"/>
      <c r="AY207" s="94" t="n"/>
      <c r="AZ207" s="94" t="n"/>
      <c r="BA207" s="94" t="n"/>
      <c r="BB207" s="94" t="n"/>
      <c r="BC207" s="94" t="n"/>
      <c r="BD207" s="94" t="n"/>
    </row>
    <row r="208" ht="15.75" customHeight="1" s="163">
      <c r="A208" s="94" t="n"/>
      <c r="B208" s="94" t="n"/>
      <c r="C208" s="94" t="n"/>
      <c r="D208" s="94" t="n"/>
      <c r="E208" s="94" t="n"/>
      <c r="F208" s="94" t="n"/>
      <c r="G208" s="94" t="n"/>
      <c r="H208" s="94" t="n"/>
      <c r="I208" s="94" t="n"/>
      <c r="J208" s="94" t="n"/>
      <c r="K208" s="94" t="n"/>
      <c r="L208" s="94" t="n"/>
      <c r="M208" s="94" t="n"/>
      <c r="N208" s="94" t="n"/>
      <c r="O208" s="94" t="n"/>
      <c r="P208" s="94" t="n"/>
      <c r="Q208" s="94" t="n"/>
      <c r="R208" s="94" t="n"/>
      <c r="S208" s="94" t="n"/>
      <c r="T208" s="94" t="n"/>
      <c r="U208" s="94" t="n"/>
      <c r="V208" s="94" t="n"/>
      <c r="W208" s="94" t="n"/>
      <c r="X208" s="94" t="n"/>
      <c r="Y208" s="94" t="n"/>
      <c r="Z208" s="94" t="n"/>
      <c r="AA208" s="94" t="n"/>
      <c r="AB208" s="94" t="n"/>
      <c r="AC208" s="94" t="n"/>
      <c r="AD208" s="94" t="n"/>
      <c r="AE208" s="94" t="n"/>
      <c r="AF208" s="94" t="n"/>
      <c r="AG208" s="94" t="n"/>
      <c r="AH208" s="94" t="n"/>
      <c r="AI208" s="94" t="n"/>
      <c r="AJ208" s="94" t="n"/>
      <c r="AK208" s="94" t="n"/>
      <c r="AL208" s="94" t="n"/>
      <c r="AM208" s="94" t="n"/>
      <c r="AN208" s="94" t="n"/>
      <c r="AO208" s="94" t="n"/>
      <c r="AP208" s="94" t="n"/>
      <c r="AQ208" s="94" t="n"/>
      <c r="AR208" s="94" t="n"/>
      <c r="AS208" s="94" t="n"/>
      <c r="AT208" s="94" t="n"/>
      <c r="AU208" s="94" t="n"/>
      <c r="AV208" s="94" t="n"/>
      <c r="AW208" s="94" t="n"/>
      <c r="AX208" s="94" t="n"/>
      <c r="AY208" s="94" t="n"/>
      <c r="AZ208" s="94" t="n"/>
      <c r="BA208" s="94" t="n"/>
      <c r="BB208" s="94" t="n"/>
      <c r="BC208" s="94" t="n"/>
      <c r="BD208" s="94" t="n"/>
    </row>
    <row r="209" ht="15.75" customHeight="1" s="163">
      <c r="A209" s="94" t="n"/>
      <c r="B209" s="94" t="n"/>
      <c r="C209" s="94" t="n"/>
      <c r="D209" s="94" t="n"/>
      <c r="E209" s="94" t="n"/>
      <c r="F209" s="94" t="n"/>
      <c r="G209" s="94" t="n"/>
      <c r="H209" s="94" t="n"/>
      <c r="I209" s="94" t="n"/>
      <c r="J209" s="94" t="n"/>
      <c r="K209" s="94" t="n"/>
      <c r="L209" s="94" t="n"/>
      <c r="M209" s="94" t="n"/>
      <c r="N209" s="94" t="n"/>
      <c r="O209" s="94" t="n"/>
      <c r="P209" s="94" t="n"/>
      <c r="Q209" s="94" t="n"/>
      <c r="R209" s="94" t="n"/>
      <c r="S209" s="94" t="n"/>
      <c r="T209" s="94" t="n"/>
      <c r="U209" s="94" t="n"/>
      <c r="V209" s="94" t="n"/>
      <c r="W209" s="94" t="n"/>
      <c r="X209" s="94" t="n"/>
      <c r="Y209" s="94" t="n"/>
    </row>
    <row r="210" ht="15.75" customHeight="1" s="163">
      <c r="A210" s="94" t="n"/>
      <c r="B210" s="94" t="n"/>
      <c r="C210" s="94" t="n"/>
      <c r="D210" s="94" t="n"/>
      <c r="E210" s="94" t="n"/>
      <c r="F210" s="94" t="n"/>
      <c r="G210" s="94" t="n"/>
      <c r="H210" s="94" t="n"/>
      <c r="I210" s="94" t="n"/>
      <c r="J210" s="94" t="n"/>
      <c r="K210" s="94" t="n"/>
      <c r="L210" s="94" t="n"/>
      <c r="M210" s="94" t="n"/>
      <c r="N210" s="94" t="n"/>
      <c r="O210" s="94" t="n"/>
      <c r="P210" s="94" t="n"/>
      <c r="Q210" s="94" t="n"/>
      <c r="R210" s="94" t="n"/>
      <c r="S210" s="94" t="n"/>
      <c r="T210" s="94" t="n"/>
      <c r="U210" s="94" t="n"/>
      <c r="V210" s="94" t="n"/>
      <c r="W210" s="94" t="n"/>
      <c r="X210" s="94" t="n"/>
      <c r="Y210" s="94" t="n"/>
    </row>
    <row r="211" ht="15.75" customHeight="1" s="163">
      <c r="A211" s="94" t="n"/>
      <c r="B211" s="94" t="n"/>
      <c r="C211" s="94" t="n"/>
      <c r="D211" s="94" t="n"/>
      <c r="E211" s="94" t="n"/>
      <c r="F211" s="94" t="n"/>
      <c r="G211" s="94" t="n"/>
      <c r="H211" s="94" t="n"/>
      <c r="I211" s="94" t="n"/>
      <c r="J211" s="94" t="n"/>
      <c r="K211" s="94" t="n"/>
      <c r="L211" s="94" t="n"/>
      <c r="M211" s="94" t="n"/>
      <c r="N211" s="94" t="n"/>
      <c r="O211" s="94" t="n"/>
      <c r="P211" s="94" t="n"/>
      <c r="Q211" s="94" t="n"/>
      <c r="R211" s="94" t="n"/>
      <c r="S211" s="94" t="n"/>
      <c r="T211" s="94" t="n"/>
      <c r="U211" s="94" t="n"/>
      <c r="V211" s="94" t="n"/>
      <c r="W211" s="94" t="n"/>
      <c r="X211" s="94" t="n"/>
      <c r="Y211" s="94" t="n"/>
    </row>
    <row r="212" ht="15.75" customHeight="1" s="163">
      <c r="A212" s="94" t="n"/>
      <c r="B212" s="94" t="n"/>
      <c r="C212" s="94" t="n"/>
      <c r="D212" s="94" t="n"/>
      <c r="E212" s="94" t="n"/>
      <c r="F212" s="94" t="n"/>
      <c r="G212" s="94" t="n"/>
      <c r="H212" s="94" t="n"/>
      <c r="I212" s="94" t="n"/>
      <c r="J212" s="94" t="n"/>
      <c r="K212" s="94" t="n"/>
      <c r="L212" s="94" t="n"/>
      <c r="M212" s="94" t="n"/>
      <c r="N212" s="94" t="n"/>
      <c r="O212" s="94" t="n"/>
      <c r="P212" s="94" t="n"/>
      <c r="Q212" s="94" t="n"/>
      <c r="R212" s="94" t="n"/>
      <c r="S212" s="94" t="n"/>
      <c r="T212" s="94" t="n"/>
      <c r="U212" s="94" t="n"/>
      <c r="V212" s="94" t="n"/>
      <c r="W212" s="94" t="n"/>
      <c r="X212" s="94" t="n"/>
      <c r="Y212" s="94" t="n"/>
    </row>
    <row r="213" ht="15.75" customHeight="1" s="163">
      <c r="A213" s="94" t="n"/>
      <c r="B213" s="94" t="n"/>
      <c r="C213" s="94" t="n"/>
      <c r="D213" s="94" t="n"/>
      <c r="E213" s="94" t="n"/>
      <c r="F213" s="94" t="n"/>
      <c r="G213" s="94" t="n"/>
      <c r="H213" s="94" t="n"/>
      <c r="I213" s="94" t="n"/>
      <c r="J213" s="94" t="n"/>
      <c r="K213" s="94" t="n"/>
      <c r="L213" s="94" t="n"/>
      <c r="M213" s="94" t="n"/>
      <c r="N213" s="94" t="n"/>
      <c r="O213" s="94" t="n"/>
      <c r="P213" s="94" t="n"/>
      <c r="Q213" s="94" t="n"/>
      <c r="R213" s="94" t="n"/>
      <c r="S213" s="94" t="n"/>
      <c r="T213" s="94" t="n"/>
      <c r="U213" s="94" t="n"/>
      <c r="V213" s="94" t="n"/>
      <c r="W213" s="94" t="n"/>
      <c r="X213" s="94" t="n"/>
      <c r="Y213" s="94" t="n"/>
    </row>
    <row r="214" ht="15.75" customHeight="1" s="163">
      <c r="A214" s="94" t="n"/>
      <c r="B214" s="94" t="n"/>
      <c r="C214" s="94" t="n"/>
      <c r="D214" s="94" t="n"/>
      <c r="E214" s="94" t="n"/>
      <c r="F214" s="94" t="n"/>
      <c r="G214" s="94" t="n"/>
      <c r="H214" s="94" t="n"/>
      <c r="I214" s="94" t="n"/>
      <c r="J214" s="94" t="n"/>
      <c r="K214" s="94" t="n"/>
      <c r="L214" s="94" t="n"/>
      <c r="M214" s="94" t="n"/>
      <c r="N214" s="94" t="n"/>
      <c r="O214" s="94" t="n"/>
      <c r="P214" s="94" t="n"/>
      <c r="Q214" s="94" t="n"/>
      <c r="R214" s="94" t="n"/>
      <c r="S214" s="94" t="n"/>
      <c r="T214" s="94" t="n"/>
      <c r="U214" s="94" t="n"/>
      <c r="V214" s="94" t="n"/>
      <c r="W214" s="94" t="n"/>
      <c r="X214" s="94" t="n"/>
      <c r="Y214" s="94" t="n"/>
    </row>
    <row r="215" ht="15.75" customHeight="1" s="163">
      <c r="A215" s="94" t="n"/>
      <c r="B215" s="94" t="n"/>
      <c r="C215" s="94" t="n"/>
      <c r="D215" s="94" t="n"/>
      <c r="E215" s="94" t="n"/>
      <c r="F215" s="94" t="n"/>
      <c r="G215" s="94" t="n"/>
      <c r="H215" s="94" t="n"/>
      <c r="I215" s="94" t="n"/>
      <c r="J215" s="94" t="n"/>
      <c r="K215" s="94" t="n"/>
      <c r="L215" s="94" t="n"/>
      <c r="M215" s="94" t="n"/>
      <c r="N215" s="94" t="n"/>
      <c r="O215" s="94" t="n"/>
      <c r="P215" s="94" t="n"/>
      <c r="Q215" s="94" t="n"/>
      <c r="R215" s="94" t="n"/>
      <c r="S215" s="94" t="n"/>
      <c r="T215" s="94" t="n"/>
      <c r="U215" s="94" t="n"/>
      <c r="V215" s="94" t="n"/>
      <c r="W215" s="94" t="n"/>
      <c r="X215" s="94" t="n"/>
      <c r="Y215" s="94" t="n"/>
    </row>
    <row r="216" ht="15.75" customHeight="1" s="163">
      <c r="A216" s="94" t="n"/>
      <c r="B216" s="94" t="n"/>
      <c r="C216" s="94" t="n"/>
      <c r="D216" s="94" t="n"/>
      <c r="E216" s="94" t="n"/>
      <c r="F216" s="94" t="n"/>
      <c r="G216" s="94" t="n"/>
      <c r="H216" s="94" t="n"/>
      <c r="I216" s="94" t="n"/>
      <c r="J216" s="94" t="n"/>
      <c r="K216" s="94" t="n"/>
      <c r="L216" s="94" t="n"/>
      <c r="M216" s="94" t="n"/>
      <c r="N216" s="94" t="n"/>
      <c r="O216" s="94" t="n"/>
      <c r="P216" s="94" t="n"/>
      <c r="Q216" s="94" t="n"/>
      <c r="R216" s="94" t="n"/>
      <c r="S216" s="94" t="n"/>
      <c r="T216" s="94" t="n"/>
      <c r="U216" s="94" t="n"/>
      <c r="V216" s="94" t="n"/>
      <c r="W216" s="94" t="n"/>
      <c r="X216" s="94" t="n"/>
      <c r="Y216" s="94" t="n"/>
    </row>
    <row r="217" ht="15.75" customHeight="1" s="163">
      <c r="A217" s="94" t="n"/>
      <c r="B217" s="94" t="n"/>
      <c r="C217" s="94" t="n"/>
      <c r="D217" s="94" t="n"/>
      <c r="E217" s="94" t="n"/>
      <c r="F217" s="94" t="n"/>
      <c r="G217" s="94" t="n"/>
      <c r="H217" s="94" t="n"/>
      <c r="I217" s="94" t="n"/>
      <c r="J217" s="94" t="n"/>
      <c r="K217" s="94" t="n"/>
      <c r="L217" s="94" t="n"/>
      <c r="M217" s="94" t="n"/>
      <c r="N217" s="94" t="n"/>
      <c r="O217" s="94" t="n"/>
      <c r="P217" s="94" t="n"/>
      <c r="Q217" s="94" t="n"/>
      <c r="R217" s="94" t="n"/>
      <c r="S217" s="94" t="n"/>
      <c r="T217" s="94" t="n"/>
      <c r="U217" s="94" t="n"/>
      <c r="V217" s="94" t="n"/>
      <c r="W217" s="94" t="n"/>
      <c r="X217" s="94" t="n"/>
      <c r="Y217" s="94" t="n"/>
    </row>
    <row r="218" ht="15.75" customHeight="1" s="163">
      <c r="A218" s="94" t="n"/>
      <c r="B218" s="94" t="n"/>
      <c r="C218" s="94" t="n"/>
      <c r="D218" s="94" t="n"/>
      <c r="E218" s="94" t="n"/>
      <c r="F218" s="94" t="n"/>
      <c r="G218" s="94" t="n"/>
      <c r="H218" s="94" t="n"/>
      <c r="I218" s="94" t="n"/>
      <c r="J218" s="94" t="n"/>
      <c r="K218" s="94" t="n"/>
      <c r="L218" s="94" t="n"/>
      <c r="M218" s="94" t="n"/>
      <c r="N218" s="94" t="n"/>
      <c r="O218" s="94" t="n"/>
      <c r="P218" s="94" t="n"/>
      <c r="Q218" s="94" t="n"/>
      <c r="R218" s="94" t="n"/>
      <c r="S218" s="94" t="n"/>
      <c r="T218" s="94" t="n"/>
      <c r="U218" s="94" t="n"/>
      <c r="V218" s="94" t="n"/>
      <c r="W218" s="94" t="n"/>
      <c r="X218" s="94" t="n"/>
      <c r="Y218" s="94" t="n"/>
    </row>
    <row r="219" ht="15.75" customHeight="1" s="163">
      <c r="A219" s="94" t="n"/>
      <c r="B219" s="94" t="n"/>
      <c r="C219" s="94" t="n"/>
      <c r="D219" s="94" t="n"/>
      <c r="E219" s="94" t="n"/>
      <c r="F219" s="94" t="n"/>
      <c r="G219" s="94" t="n"/>
      <c r="H219" s="94" t="n"/>
      <c r="I219" s="94" t="n"/>
      <c r="J219" s="94" t="n"/>
      <c r="K219" s="94" t="n"/>
      <c r="L219" s="94" t="n"/>
      <c r="M219" s="94" t="n"/>
      <c r="N219" s="94" t="n"/>
      <c r="O219" s="94" t="n"/>
      <c r="P219" s="94" t="n"/>
      <c r="Q219" s="94" t="n"/>
      <c r="R219" s="94" t="n"/>
      <c r="S219" s="94" t="n"/>
      <c r="T219" s="94" t="n"/>
      <c r="U219" s="94" t="n"/>
      <c r="V219" s="94" t="n"/>
      <c r="W219" s="94" t="n"/>
      <c r="X219" s="94" t="n"/>
      <c r="Y219" s="94" t="n"/>
    </row>
    <row r="220" ht="15.75" customHeight="1" s="163">
      <c r="A220" s="94" t="n"/>
      <c r="B220" s="94" t="n"/>
      <c r="C220" s="94" t="n"/>
      <c r="D220" s="94" t="n"/>
      <c r="E220" s="94" t="n"/>
      <c r="F220" s="94" t="n"/>
      <c r="G220" s="94" t="n"/>
      <c r="H220" s="94" t="n"/>
      <c r="I220" s="94" t="n"/>
      <c r="J220" s="94" t="n"/>
      <c r="K220" s="94" t="n"/>
      <c r="L220" s="94" t="n"/>
      <c r="M220" s="94" t="n"/>
      <c r="N220" s="94" t="n"/>
      <c r="O220" s="94" t="n"/>
      <c r="P220" s="94" t="n"/>
      <c r="Q220" s="94" t="n"/>
      <c r="R220" s="94" t="n"/>
      <c r="S220" s="94" t="n"/>
      <c r="T220" s="94" t="n"/>
      <c r="U220" s="94" t="n"/>
      <c r="V220" s="94" t="n"/>
      <c r="W220" s="94" t="n"/>
      <c r="X220" s="94" t="n"/>
      <c r="Y220" s="94" t="n"/>
    </row>
    <row r="221" ht="15.75" customHeight="1" s="163">
      <c r="A221" s="94" t="n"/>
      <c r="B221" s="94" t="n"/>
      <c r="C221" s="94" t="n"/>
      <c r="D221" s="94" t="n"/>
      <c r="E221" s="94" t="n"/>
      <c r="F221" s="94" t="n"/>
      <c r="G221" s="94" t="n"/>
      <c r="H221" s="94" t="n"/>
      <c r="I221" s="94" t="n"/>
      <c r="J221" s="94" t="n"/>
      <c r="K221" s="94" t="n"/>
      <c r="L221" s="94" t="n"/>
      <c r="M221" s="94" t="n"/>
      <c r="N221" s="94" t="n"/>
      <c r="O221" s="94" t="n"/>
      <c r="P221" s="94" t="n"/>
      <c r="Q221" s="94" t="n"/>
      <c r="R221" s="94" t="n"/>
      <c r="S221" s="94" t="n"/>
      <c r="T221" s="94" t="n"/>
      <c r="U221" s="94" t="n"/>
      <c r="V221" s="94" t="n"/>
      <c r="W221" s="94" t="n"/>
      <c r="X221" s="94" t="n"/>
      <c r="Y221" s="94" t="n"/>
    </row>
    <row r="222" ht="15.75" customHeight="1" s="163">
      <c r="A222" s="94" t="n"/>
      <c r="B222" s="94" t="n"/>
      <c r="C222" s="94" t="n"/>
      <c r="D222" s="94" t="n"/>
      <c r="E222" s="94" t="n"/>
      <c r="F222" s="94" t="n"/>
      <c r="G222" s="94" t="n"/>
      <c r="H222" s="94" t="n"/>
      <c r="I222" s="94" t="n"/>
      <c r="J222" s="94" t="n"/>
      <c r="K222" s="94" t="n"/>
      <c r="L222" s="94" t="n"/>
      <c r="M222" s="94" t="n"/>
      <c r="N222" s="94" t="n"/>
      <c r="O222" s="94" t="n"/>
      <c r="P222" s="94" t="n"/>
      <c r="Q222" s="94" t="n"/>
      <c r="R222" s="94" t="n"/>
      <c r="S222" s="94" t="n"/>
      <c r="T222" s="94" t="n"/>
      <c r="U222" s="94" t="n"/>
      <c r="V222" s="94" t="n"/>
      <c r="W222" s="94" t="n"/>
      <c r="X222" s="94" t="n"/>
      <c r="Y222" s="94" t="n"/>
    </row>
    <row r="223" ht="15.75" customHeight="1" s="163">
      <c r="A223" s="94" t="n"/>
      <c r="B223" s="94" t="n"/>
      <c r="C223" s="94" t="n"/>
      <c r="D223" s="94" t="n"/>
      <c r="E223" s="94" t="n"/>
      <c r="F223" s="94" t="n"/>
      <c r="G223" s="94" t="n"/>
      <c r="H223" s="94" t="n"/>
      <c r="I223" s="94" t="n"/>
      <c r="J223" s="94" t="n"/>
      <c r="K223" s="94" t="n"/>
      <c r="L223" s="94" t="n"/>
      <c r="M223" s="94" t="n"/>
      <c r="N223" s="94" t="n"/>
      <c r="O223" s="94" t="n"/>
      <c r="P223" s="94" t="n"/>
      <c r="Q223" s="94" t="n"/>
      <c r="R223" s="94" t="n"/>
      <c r="S223" s="94" t="n"/>
      <c r="T223" s="94" t="n"/>
      <c r="U223" s="94" t="n"/>
      <c r="V223" s="94" t="n"/>
      <c r="W223" s="94" t="n"/>
      <c r="X223" s="94" t="n"/>
      <c r="Y223" s="94" t="n"/>
    </row>
    <row r="224" ht="15.75" customHeight="1" s="163">
      <c r="A224" s="94" t="n"/>
      <c r="B224" s="94" t="n"/>
      <c r="C224" s="94" t="n"/>
      <c r="D224" s="94" t="n"/>
      <c r="E224" s="94" t="n"/>
      <c r="F224" s="94" t="n"/>
      <c r="G224" s="94" t="n"/>
      <c r="H224" s="94" t="n"/>
      <c r="I224" s="94" t="n"/>
      <c r="J224" s="94" t="n"/>
      <c r="K224" s="94" t="n"/>
      <c r="L224" s="94" t="n"/>
      <c r="M224" s="94" t="n"/>
      <c r="N224" s="94" t="n"/>
      <c r="O224" s="94" t="n"/>
      <c r="P224" s="94" t="n"/>
      <c r="Q224" s="94" t="n"/>
      <c r="R224" s="94" t="n"/>
      <c r="S224" s="94" t="n"/>
      <c r="T224" s="94" t="n"/>
      <c r="U224" s="94" t="n"/>
      <c r="V224" s="94" t="n"/>
      <c r="W224" s="94" t="n"/>
      <c r="X224" s="94" t="n"/>
      <c r="Y224" s="94" t="n"/>
    </row>
    <row r="225" ht="15.75" customHeight="1" s="163">
      <c r="A225" s="94" t="n"/>
      <c r="B225" s="94" t="n"/>
      <c r="C225" s="94" t="n"/>
      <c r="D225" s="94" t="n"/>
      <c r="E225" s="94" t="n"/>
      <c r="F225" s="94" t="n"/>
      <c r="G225" s="94" t="n"/>
      <c r="H225" s="94" t="n"/>
      <c r="I225" s="94" t="n"/>
      <c r="J225" s="94" t="n"/>
      <c r="K225" s="94" t="n"/>
      <c r="L225" s="94" t="n"/>
      <c r="M225" s="94" t="n"/>
      <c r="N225" s="94" t="n"/>
      <c r="O225" s="94" t="n"/>
      <c r="P225" s="94" t="n"/>
      <c r="Q225" s="94" t="n"/>
      <c r="R225" s="94" t="n"/>
      <c r="S225" s="94" t="n"/>
      <c r="T225" s="94" t="n"/>
      <c r="U225" s="94" t="n"/>
      <c r="V225" s="94" t="n"/>
      <c r="W225" s="94" t="n"/>
      <c r="X225" s="94" t="n"/>
      <c r="Y225" s="94" t="n"/>
    </row>
    <row r="226" ht="15.75" customHeight="1" s="163">
      <c r="A226" s="94" t="n"/>
      <c r="B226" s="94" t="n"/>
      <c r="C226" s="94" t="n"/>
      <c r="D226" s="94" t="n"/>
      <c r="E226" s="94" t="n"/>
      <c r="F226" s="94" t="n"/>
      <c r="G226" s="94" t="n"/>
      <c r="H226" s="94" t="n"/>
      <c r="I226" s="94" t="n"/>
      <c r="J226" s="94" t="n"/>
      <c r="K226" s="94" t="n"/>
      <c r="L226" s="94" t="n"/>
      <c r="M226" s="94" t="n"/>
      <c r="N226" s="94" t="n"/>
      <c r="O226" s="94" t="n"/>
      <c r="P226" s="94" t="n"/>
      <c r="Q226" s="94" t="n"/>
      <c r="R226" s="94" t="n"/>
      <c r="S226" s="94" t="n"/>
      <c r="T226" s="94" t="n"/>
      <c r="U226" s="94" t="n"/>
      <c r="V226" s="94" t="n"/>
      <c r="W226" s="94" t="n"/>
      <c r="X226" s="94" t="n"/>
      <c r="Y226" s="94" t="n"/>
    </row>
    <row r="227" ht="15.75" customHeight="1" s="163">
      <c r="A227" s="94" t="n"/>
      <c r="B227" s="94" t="n"/>
      <c r="C227" s="94" t="n"/>
      <c r="D227" s="94" t="n"/>
      <c r="E227" s="94" t="n"/>
      <c r="F227" s="94" t="n"/>
      <c r="G227" s="94" t="n"/>
      <c r="H227" s="94" t="n"/>
      <c r="I227" s="94" t="n"/>
      <c r="J227" s="94" t="n"/>
      <c r="K227" s="94" t="n"/>
      <c r="L227" s="94" t="n"/>
      <c r="M227" s="94" t="n"/>
      <c r="N227" s="94" t="n"/>
      <c r="O227" s="94" t="n"/>
      <c r="P227" s="94" t="n"/>
      <c r="Q227" s="94" t="n"/>
      <c r="R227" s="94" t="n"/>
      <c r="S227" s="94" t="n"/>
      <c r="T227" s="94" t="n"/>
      <c r="U227" s="94" t="n"/>
      <c r="V227" s="94" t="n"/>
      <c r="W227" s="94" t="n"/>
      <c r="X227" s="94" t="n"/>
      <c r="Y227" s="94" t="n"/>
    </row>
    <row r="228" ht="15.75" customHeight="1" s="163">
      <c r="A228" s="94" t="n"/>
      <c r="B228" s="94" t="n"/>
      <c r="C228" s="94" t="n"/>
      <c r="D228" s="94" t="n"/>
      <c r="E228" s="94" t="n"/>
      <c r="F228" s="94" t="n"/>
      <c r="G228" s="94" t="n"/>
      <c r="H228" s="94" t="n"/>
      <c r="I228" s="94" t="n"/>
      <c r="J228" s="94" t="n"/>
      <c r="K228" s="94" t="n"/>
      <c r="L228" s="94" t="n"/>
      <c r="M228" s="94" t="n"/>
      <c r="N228" s="94" t="n"/>
      <c r="O228" s="94" t="n"/>
      <c r="P228" s="94" t="n"/>
      <c r="Q228" s="94" t="n"/>
      <c r="R228" s="94" t="n"/>
      <c r="S228" s="94" t="n"/>
      <c r="T228" s="94" t="n"/>
      <c r="U228" s="94" t="n"/>
      <c r="V228" s="94" t="n"/>
      <c r="W228" s="94" t="n"/>
      <c r="X228" s="94" t="n"/>
      <c r="Y228" s="94" t="n"/>
    </row>
    <row r="229" ht="15.75" customHeight="1" s="163">
      <c r="A229" s="94" t="n"/>
      <c r="B229" s="94" t="n"/>
      <c r="C229" s="94" t="n"/>
      <c r="D229" s="94" t="n"/>
      <c r="E229" s="94" t="n"/>
      <c r="F229" s="94" t="n"/>
      <c r="G229" s="94" t="n"/>
      <c r="H229" s="94" t="n"/>
      <c r="I229" s="94" t="n"/>
      <c r="J229" s="94" t="n"/>
      <c r="K229" s="94" t="n"/>
      <c r="L229" s="94" t="n"/>
      <c r="M229" s="94" t="n"/>
      <c r="N229" s="94" t="n"/>
      <c r="O229" s="94" t="n"/>
      <c r="P229" s="94" t="n"/>
      <c r="Q229" s="94" t="n"/>
      <c r="R229" s="94" t="n"/>
      <c r="S229" s="94" t="n"/>
      <c r="T229" s="94" t="n"/>
      <c r="U229" s="94" t="n"/>
      <c r="V229" s="94" t="n"/>
      <c r="W229" s="94" t="n"/>
      <c r="X229" s="94" t="n"/>
      <c r="Y229" s="94" t="n"/>
    </row>
    <row r="230" ht="15.75" customHeight="1" s="163">
      <c r="A230" s="94" t="n"/>
      <c r="B230" s="94" t="n"/>
      <c r="C230" s="94" t="n"/>
      <c r="D230" s="94" t="n"/>
      <c r="E230" s="94" t="n"/>
      <c r="F230" s="94" t="n"/>
      <c r="G230" s="94" t="n"/>
      <c r="H230" s="94" t="n"/>
      <c r="I230" s="94" t="n"/>
      <c r="J230" s="94" t="n"/>
      <c r="K230" s="94" t="n"/>
      <c r="L230" s="94" t="n"/>
      <c r="M230" s="94" t="n"/>
      <c r="N230" s="94" t="n"/>
      <c r="O230" s="94" t="n"/>
      <c r="P230" s="94" t="n"/>
      <c r="Q230" s="94" t="n"/>
      <c r="R230" s="94" t="n"/>
      <c r="S230" s="94" t="n"/>
      <c r="T230" s="94" t="n"/>
      <c r="U230" s="94" t="n"/>
      <c r="V230" s="94" t="n"/>
      <c r="W230" s="94" t="n"/>
      <c r="X230" s="94" t="n"/>
      <c r="Y230" s="94" t="n"/>
    </row>
    <row r="231" ht="15.75" customHeight="1" s="163">
      <c r="A231" s="94" t="n"/>
      <c r="B231" s="94" t="n"/>
      <c r="C231" s="94" t="n"/>
      <c r="D231" s="94" t="n"/>
      <c r="E231" s="94" t="n"/>
      <c r="F231" s="94" t="n"/>
      <c r="G231" s="94" t="n"/>
      <c r="H231" s="94" t="n"/>
      <c r="I231" s="94" t="n"/>
      <c r="J231" s="94" t="n"/>
      <c r="K231" s="94" t="n"/>
      <c r="L231" s="94" t="n"/>
      <c r="M231" s="94" t="n"/>
      <c r="N231" s="94" t="n"/>
      <c r="O231" s="94" t="n"/>
      <c r="P231" s="94" t="n"/>
      <c r="Q231" s="94" t="n"/>
      <c r="R231" s="94" t="n"/>
      <c r="S231" s="94" t="n"/>
      <c r="T231" s="94" t="n"/>
      <c r="U231" s="94" t="n"/>
      <c r="V231" s="94" t="n"/>
      <c r="W231" s="94" t="n"/>
      <c r="X231" s="94" t="n"/>
      <c r="Y231" s="94" t="n"/>
    </row>
    <row r="232" ht="15.75" customHeight="1" s="163">
      <c r="A232" s="94" t="n"/>
      <c r="B232" s="94" t="n"/>
      <c r="C232" s="94" t="n"/>
      <c r="D232" s="94" t="n"/>
      <c r="E232" s="94" t="n"/>
      <c r="F232" s="94" t="n"/>
      <c r="G232" s="94" t="n"/>
      <c r="H232" s="94" t="n"/>
      <c r="I232" s="94" t="n"/>
      <c r="J232" s="94" t="n"/>
      <c r="K232" s="94" t="n"/>
      <c r="L232" s="94" t="n"/>
      <c r="M232" s="94" t="n"/>
      <c r="N232" s="94" t="n"/>
      <c r="O232" s="94" t="n"/>
      <c r="P232" s="94" t="n"/>
      <c r="Q232" s="94" t="n"/>
      <c r="R232" s="94" t="n"/>
      <c r="S232" s="94" t="n"/>
      <c r="T232" s="94" t="n"/>
      <c r="U232" s="94" t="n"/>
      <c r="V232" s="94" t="n"/>
      <c r="W232" s="94" t="n"/>
      <c r="X232" s="94" t="n"/>
      <c r="Y232" s="94" t="n"/>
    </row>
    <row r="233" ht="15.75" customHeight="1" s="163">
      <c r="A233" s="94" t="n"/>
      <c r="B233" s="94" t="n"/>
      <c r="C233" s="94" t="n"/>
      <c r="D233" s="94" t="n"/>
      <c r="E233" s="94" t="n"/>
      <c r="F233" s="94" t="n"/>
      <c r="G233" s="94" t="n"/>
      <c r="H233" s="94" t="n"/>
      <c r="I233" s="94" t="n"/>
      <c r="J233" s="94" t="n"/>
      <c r="K233" s="94" t="n"/>
      <c r="L233" s="94" t="n"/>
      <c r="M233" s="94" t="n"/>
      <c r="N233" s="94" t="n"/>
      <c r="O233" s="94" t="n"/>
      <c r="P233" s="94" t="n"/>
      <c r="Q233" s="94" t="n"/>
      <c r="R233" s="94" t="n"/>
      <c r="S233" s="94" t="n"/>
      <c r="T233" s="94" t="n"/>
      <c r="U233" s="94" t="n"/>
      <c r="V233" s="94" t="n"/>
      <c r="W233" s="94" t="n"/>
      <c r="X233" s="94" t="n"/>
      <c r="Y233" s="94" t="n"/>
    </row>
    <row r="234" ht="15.75" customHeight="1" s="163">
      <c r="A234" s="94" t="n"/>
      <c r="B234" s="94" t="n"/>
      <c r="C234" s="94" t="n"/>
      <c r="D234" s="94" t="n"/>
      <c r="E234" s="94" t="n"/>
      <c r="F234" s="94" t="n"/>
      <c r="G234" s="94" t="n"/>
      <c r="H234" s="94" t="n"/>
      <c r="I234" s="94" t="n"/>
      <c r="J234" s="94" t="n"/>
      <c r="K234" s="94" t="n"/>
      <c r="L234" s="94" t="n"/>
      <c r="M234" s="94" t="n"/>
      <c r="N234" s="94" t="n"/>
      <c r="O234" s="94" t="n"/>
      <c r="P234" s="94" t="n"/>
      <c r="Q234" s="94" t="n"/>
      <c r="R234" s="94" t="n"/>
      <c r="S234" s="94" t="n"/>
      <c r="T234" s="94" t="n"/>
      <c r="U234" s="94" t="n"/>
      <c r="V234" s="94" t="n"/>
      <c r="W234" s="94" t="n"/>
      <c r="X234" s="94" t="n"/>
      <c r="Y234" s="94" t="n"/>
    </row>
    <row r="235" ht="15.75" customHeight="1" s="163">
      <c r="A235" s="94" t="n"/>
      <c r="B235" s="94" t="n"/>
      <c r="C235" s="94" t="n"/>
      <c r="D235" s="94" t="n"/>
      <c r="E235" s="94" t="n"/>
      <c r="F235" s="94" t="n"/>
      <c r="G235" s="94" t="n"/>
      <c r="H235" s="94" t="n"/>
      <c r="I235" s="94" t="n"/>
      <c r="J235" s="94" t="n"/>
      <c r="K235" s="94" t="n"/>
      <c r="L235" s="94" t="n"/>
      <c r="M235" s="94" t="n"/>
      <c r="N235" s="94" t="n"/>
      <c r="O235" s="94" t="n"/>
      <c r="P235" s="94" t="n"/>
      <c r="Q235" s="94" t="n"/>
      <c r="R235" s="94" t="n"/>
      <c r="S235" s="94" t="n"/>
      <c r="T235" s="94" t="n"/>
      <c r="U235" s="94" t="n"/>
      <c r="V235" s="94" t="n"/>
      <c r="W235" s="94" t="n"/>
      <c r="X235" s="94" t="n"/>
      <c r="Y235" s="94" t="n"/>
    </row>
    <row r="236" ht="15.75" customHeight="1" s="163">
      <c r="A236" s="94" t="n"/>
      <c r="B236" s="94" t="n"/>
      <c r="C236" s="94" t="n"/>
      <c r="D236" s="94" t="n"/>
      <c r="E236" s="94" t="n"/>
      <c r="F236" s="94" t="n"/>
      <c r="G236" s="94" t="n"/>
      <c r="H236" s="94" t="n"/>
      <c r="I236" s="94" t="n"/>
      <c r="J236" s="94" t="n"/>
      <c r="K236" s="94" t="n"/>
      <c r="L236" s="94" t="n"/>
      <c r="M236" s="94" t="n"/>
      <c r="N236" s="94" t="n"/>
      <c r="O236" s="94" t="n"/>
      <c r="P236" s="94" t="n"/>
      <c r="Q236" s="94" t="n"/>
      <c r="R236" s="94" t="n"/>
      <c r="S236" s="94" t="n"/>
      <c r="T236" s="94" t="n"/>
      <c r="U236" s="94" t="n"/>
      <c r="V236" s="94" t="n"/>
      <c r="W236" s="94" t="n"/>
      <c r="X236" s="94" t="n"/>
      <c r="Y236" s="94" t="n"/>
    </row>
    <row r="237" ht="15.75" customHeight="1" s="163">
      <c r="A237" s="94" t="n"/>
      <c r="B237" s="94" t="n"/>
      <c r="C237" s="94" t="n"/>
      <c r="D237" s="94" t="n"/>
      <c r="E237" s="94" t="n"/>
      <c r="F237" s="94" t="n"/>
      <c r="G237" s="94" t="n"/>
      <c r="H237" s="94" t="n"/>
      <c r="I237" s="94" t="n"/>
      <c r="J237" s="94" t="n"/>
      <c r="K237" s="94" t="n"/>
      <c r="L237" s="94" t="n"/>
      <c r="M237" s="94" t="n"/>
      <c r="N237" s="94" t="n"/>
      <c r="O237" s="94" t="n"/>
      <c r="P237" s="94" t="n"/>
      <c r="Q237" s="94" t="n"/>
      <c r="R237" s="94" t="n"/>
      <c r="S237" s="94" t="n"/>
      <c r="T237" s="94" t="n"/>
      <c r="U237" s="94" t="n"/>
      <c r="V237" s="94" t="n"/>
      <c r="W237" s="94" t="n"/>
      <c r="X237" s="94" t="n"/>
      <c r="Y237" s="94" t="n"/>
    </row>
    <row r="238" ht="15.75" customHeight="1" s="163">
      <c r="A238" s="94" t="n"/>
      <c r="B238" s="94" t="n"/>
      <c r="C238" s="94" t="n"/>
      <c r="D238" s="94" t="n"/>
      <c r="E238" s="94" t="n"/>
      <c r="F238" s="94" t="n"/>
      <c r="G238" s="94" t="n"/>
      <c r="H238" s="94" t="n"/>
      <c r="I238" s="94" t="n"/>
      <c r="J238" s="94" t="n"/>
      <c r="K238" s="94" t="n"/>
      <c r="L238" s="94" t="n"/>
      <c r="M238" s="94" t="n"/>
      <c r="N238" s="94" t="n"/>
      <c r="O238" s="94" t="n"/>
      <c r="P238" s="94" t="n"/>
      <c r="Q238" s="94" t="n"/>
      <c r="R238" s="94" t="n"/>
      <c r="S238" s="94" t="n"/>
      <c r="T238" s="94" t="n"/>
      <c r="U238" s="94" t="n"/>
      <c r="V238" s="94" t="n"/>
      <c r="W238" s="94" t="n"/>
      <c r="X238" s="94" t="n"/>
      <c r="Y238" s="94" t="n"/>
    </row>
    <row r="239" ht="15.75" customHeight="1" s="163">
      <c r="A239" s="94" t="n"/>
      <c r="B239" s="94" t="n"/>
      <c r="C239" s="94" t="n"/>
      <c r="D239" s="94" t="n"/>
      <c r="E239" s="94" t="n"/>
      <c r="F239" s="94" t="n"/>
      <c r="G239" s="94" t="n"/>
      <c r="H239" s="94" t="n"/>
      <c r="I239" s="94" t="n"/>
      <c r="J239" s="94" t="n"/>
      <c r="K239" s="94" t="n"/>
      <c r="L239" s="94" t="n"/>
      <c r="M239" s="94" t="n"/>
      <c r="N239" s="94" t="n"/>
      <c r="O239" s="94" t="n"/>
      <c r="P239" s="94" t="n"/>
      <c r="Q239" s="94" t="n"/>
      <c r="R239" s="94" t="n"/>
      <c r="S239" s="94" t="n"/>
      <c r="T239" s="94" t="n"/>
      <c r="U239" s="94" t="n"/>
      <c r="V239" s="94" t="n"/>
      <c r="W239" s="94" t="n"/>
      <c r="X239" s="94" t="n"/>
      <c r="Y239" s="94" t="n"/>
    </row>
    <row r="240" ht="15.75" customHeight="1" s="163">
      <c r="A240" s="94" t="n"/>
      <c r="B240" s="94" t="n"/>
      <c r="C240" s="94" t="n"/>
      <c r="D240" s="94" t="n"/>
      <c r="E240" s="94" t="n"/>
      <c r="F240" s="94" t="n"/>
      <c r="G240" s="94" t="n"/>
      <c r="H240" s="94" t="n"/>
      <c r="I240" s="94" t="n"/>
      <c r="J240" s="94" t="n"/>
      <c r="K240" s="94" t="n"/>
      <c r="L240" s="94" t="n"/>
      <c r="M240" s="94" t="n"/>
      <c r="N240" s="94" t="n"/>
      <c r="O240" s="94" t="n"/>
      <c r="P240" s="94" t="n"/>
      <c r="Q240" s="94" t="n"/>
      <c r="R240" s="94" t="n"/>
      <c r="S240" s="94" t="n"/>
      <c r="T240" s="94" t="n"/>
      <c r="U240" s="94" t="n"/>
      <c r="V240" s="94" t="n"/>
      <c r="W240" s="94" t="n"/>
      <c r="X240" s="94" t="n"/>
      <c r="Y240" s="94" t="n"/>
    </row>
    <row r="241" ht="15.75" customHeight="1" s="163">
      <c r="A241" s="94" t="n"/>
      <c r="B241" s="94" t="n"/>
      <c r="C241" s="94" t="n"/>
      <c r="D241" s="94" t="n"/>
      <c r="E241" s="94" t="n"/>
      <c r="F241" s="94" t="n"/>
      <c r="G241" s="94" t="n"/>
      <c r="H241" s="94" t="n"/>
      <c r="I241" s="94" t="n"/>
      <c r="J241" s="94" t="n"/>
      <c r="K241" s="94" t="n"/>
      <c r="L241" s="94" t="n"/>
      <c r="M241" s="94" t="n"/>
      <c r="N241" s="94" t="n"/>
      <c r="O241" s="94" t="n"/>
      <c r="P241" s="94" t="n"/>
      <c r="Q241" s="94" t="n"/>
      <c r="R241" s="94" t="n"/>
      <c r="S241" s="94" t="n"/>
      <c r="T241" s="94" t="n"/>
      <c r="U241" s="94" t="n"/>
      <c r="V241" s="94" t="n"/>
      <c r="W241" s="94" t="n"/>
      <c r="X241" s="94" t="n"/>
      <c r="Y241" s="94" t="n"/>
    </row>
    <row r="242" ht="15.75" customHeight="1" s="163">
      <c r="A242" s="94" t="n"/>
      <c r="B242" s="94" t="n"/>
      <c r="C242" s="94" t="n"/>
      <c r="D242" s="94" t="n"/>
      <c r="E242" s="94" t="n"/>
      <c r="F242" s="94" t="n"/>
      <c r="G242" s="94" t="n"/>
      <c r="H242" s="94" t="n"/>
      <c r="I242" s="94" t="n"/>
      <c r="J242" s="94" t="n"/>
      <c r="K242" s="94" t="n"/>
      <c r="L242" s="94" t="n"/>
      <c r="M242" s="94" t="n"/>
      <c r="N242" s="94" t="n"/>
      <c r="O242" s="94" t="n"/>
      <c r="P242" s="94" t="n"/>
      <c r="Q242" s="94" t="n"/>
      <c r="R242" s="94" t="n"/>
      <c r="S242" s="94" t="n"/>
      <c r="T242" s="94" t="n"/>
      <c r="U242" s="94" t="n"/>
      <c r="V242" s="94" t="n"/>
      <c r="W242" s="94" t="n"/>
      <c r="X242" s="94" t="n"/>
      <c r="Y242" s="94" t="n"/>
    </row>
    <row r="243" ht="15.75" customHeight="1" s="163">
      <c r="A243" s="94" t="n"/>
      <c r="B243" s="94" t="n"/>
      <c r="C243" s="94" t="n"/>
      <c r="D243" s="94" t="n"/>
      <c r="E243" s="94" t="n"/>
      <c r="F243" s="94" t="n"/>
      <c r="G243" s="94" t="n"/>
      <c r="H243" s="94" t="n"/>
      <c r="I243" s="94" t="n"/>
      <c r="J243" s="94" t="n"/>
      <c r="K243" s="94" t="n"/>
      <c r="L243" s="94" t="n"/>
      <c r="M243" s="94" t="n"/>
      <c r="N243" s="94" t="n"/>
      <c r="O243" s="94" t="n"/>
      <c r="P243" s="94" t="n"/>
      <c r="Q243" s="94" t="n"/>
      <c r="R243" s="94" t="n"/>
      <c r="S243" s="94" t="n"/>
      <c r="T243" s="94" t="n"/>
      <c r="U243" s="94" t="n"/>
      <c r="V243" s="94" t="n"/>
      <c r="W243" s="94" t="n"/>
      <c r="X243" s="94" t="n"/>
      <c r="Y243" s="94" t="n"/>
    </row>
    <row r="244" ht="15.75" customHeight="1" s="163">
      <c r="A244" s="94" t="n"/>
      <c r="B244" s="94" t="n"/>
      <c r="C244" s="94" t="n"/>
      <c r="D244" s="94" t="n"/>
      <c r="E244" s="94" t="n"/>
      <c r="F244" s="94" t="n"/>
      <c r="G244" s="94" t="n"/>
      <c r="H244" s="94" t="n"/>
      <c r="I244" s="94" t="n"/>
      <c r="J244" s="94" t="n"/>
      <c r="K244" s="94" t="n"/>
      <c r="L244" s="94" t="n"/>
      <c r="M244" s="94" t="n"/>
      <c r="N244" s="94" t="n"/>
      <c r="O244" s="94" t="n"/>
      <c r="P244" s="94" t="n"/>
      <c r="Q244" s="94" t="n"/>
      <c r="R244" s="94" t="n"/>
      <c r="S244" s="94" t="n"/>
      <c r="T244" s="94" t="n"/>
      <c r="U244" s="94" t="n"/>
      <c r="V244" s="94" t="n"/>
      <c r="W244" s="94" t="n"/>
      <c r="X244" s="94" t="n"/>
      <c r="Y244" s="94" t="n"/>
    </row>
    <row r="245" ht="15.75" customHeight="1" s="163">
      <c r="A245" s="94" t="n"/>
      <c r="B245" s="94" t="n"/>
      <c r="C245" s="94" t="n"/>
      <c r="D245" s="94" t="n"/>
      <c r="E245" s="94" t="n"/>
      <c r="F245" s="94" t="n"/>
      <c r="G245" s="94" t="n"/>
      <c r="H245" s="94" t="n"/>
      <c r="I245" s="94" t="n"/>
      <c r="J245" s="94" t="n"/>
      <c r="K245" s="94" t="n"/>
      <c r="L245" s="94" t="n"/>
      <c r="M245" s="94" t="n"/>
      <c r="N245" s="94" t="n"/>
      <c r="O245" s="94" t="n"/>
      <c r="P245" s="94" t="n"/>
      <c r="Q245" s="94" t="n"/>
      <c r="R245" s="94" t="n"/>
      <c r="S245" s="94" t="n"/>
      <c r="T245" s="94" t="n"/>
      <c r="U245" s="94" t="n"/>
      <c r="V245" s="94" t="n"/>
      <c r="W245" s="94" t="n"/>
      <c r="X245" s="94" t="n"/>
      <c r="Y245" s="94" t="n"/>
    </row>
    <row r="246" ht="15.75" customHeight="1" s="163">
      <c r="A246" s="94" t="n"/>
      <c r="B246" s="94" t="n"/>
      <c r="C246" s="94" t="n"/>
      <c r="D246" s="94" t="n"/>
      <c r="E246" s="94" t="n"/>
      <c r="F246" s="94" t="n"/>
      <c r="G246" s="94" t="n"/>
      <c r="H246" s="94" t="n"/>
      <c r="I246" s="94" t="n"/>
      <c r="J246" s="94" t="n"/>
      <c r="K246" s="94" t="n"/>
      <c r="L246" s="94" t="n"/>
      <c r="M246" s="94" t="n"/>
      <c r="N246" s="94" t="n"/>
      <c r="O246" s="94" t="n"/>
      <c r="P246" s="94" t="n"/>
      <c r="Q246" s="94" t="n"/>
      <c r="R246" s="94" t="n"/>
      <c r="S246" s="94" t="n"/>
      <c r="T246" s="94" t="n"/>
      <c r="U246" s="94" t="n"/>
      <c r="V246" s="94" t="n"/>
      <c r="W246" s="94" t="n"/>
      <c r="X246" s="94" t="n"/>
      <c r="Y246" s="94" t="n"/>
    </row>
    <row r="247" ht="15.75" customHeight="1" s="163">
      <c r="A247" s="94" t="n"/>
      <c r="B247" s="94" t="n"/>
      <c r="C247" s="94" t="n"/>
      <c r="D247" s="94" t="n"/>
      <c r="E247" s="94" t="n"/>
      <c r="F247" s="94" t="n"/>
      <c r="G247" s="94" t="n"/>
      <c r="H247" s="94" t="n"/>
      <c r="I247" s="94" t="n"/>
      <c r="J247" s="94" t="n"/>
      <c r="K247" s="94" t="n"/>
      <c r="L247" s="94" t="n"/>
      <c r="M247" s="94" t="n"/>
      <c r="N247" s="94" t="n"/>
      <c r="O247" s="94" t="n"/>
      <c r="P247" s="94" t="n"/>
      <c r="Q247" s="94" t="n"/>
      <c r="R247" s="94" t="n"/>
      <c r="S247" s="94" t="n"/>
      <c r="T247" s="94" t="n"/>
      <c r="U247" s="94" t="n"/>
      <c r="V247" s="94" t="n"/>
      <c r="W247" s="94" t="n"/>
      <c r="X247" s="94" t="n"/>
      <c r="Y247" s="94" t="n"/>
    </row>
    <row r="248" ht="15.75" customHeight="1" s="163">
      <c r="A248" s="94" t="n"/>
      <c r="B248" s="94" t="n"/>
      <c r="C248" s="94" t="n"/>
      <c r="D248" s="94" t="n"/>
      <c r="E248" s="94" t="n"/>
      <c r="F248" s="94" t="n"/>
      <c r="G248" s="94" t="n"/>
      <c r="H248" s="94" t="n"/>
      <c r="I248" s="94" t="n"/>
      <c r="J248" s="94" t="n"/>
      <c r="K248" s="94" t="n"/>
      <c r="L248" s="94" t="n"/>
      <c r="M248" s="94" t="n"/>
      <c r="N248" s="94" t="n"/>
      <c r="O248" s="94" t="n"/>
      <c r="P248" s="94" t="n"/>
      <c r="Q248" s="94" t="n"/>
      <c r="R248" s="94" t="n"/>
      <c r="S248" s="94" t="n"/>
      <c r="T248" s="94" t="n"/>
      <c r="U248" s="94" t="n"/>
      <c r="V248" s="94" t="n"/>
      <c r="W248" s="94" t="n"/>
      <c r="X248" s="94" t="n"/>
      <c r="Y248" s="94" t="n"/>
    </row>
    <row r="249" ht="15.75" customHeight="1" s="163">
      <c r="A249" s="94" t="n"/>
      <c r="B249" s="94" t="n"/>
      <c r="C249" s="94" t="n"/>
      <c r="D249" s="94" t="n"/>
      <c r="E249" s="94" t="n"/>
      <c r="F249" s="94" t="n"/>
      <c r="G249" s="94" t="n"/>
      <c r="H249" s="94" t="n"/>
      <c r="I249" s="94" t="n"/>
      <c r="J249" s="94" t="n"/>
      <c r="K249" s="94" t="n"/>
      <c r="L249" s="94" t="n"/>
      <c r="M249" s="94" t="n"/>
      <c r="N249" s="94" t="n"/>
      <c r="O249" s="94" t="n"/>
      <c r="P249" s="94" t="n"/>
      <c r="Q249" s="94" t="n"/>
      <c r="R249" s="94" t="n"/>
      <c r="S249" s="94" t="n"/>
      <c r="T249" s="94" t="n"/>
      <c r="U249" s="94" t="n"/>
      <c r="V249" s="94" t="n"/>
      <c r="W249" s="94" t="n"/>
      <c r="X249" s="94" t="n"/>
      <c r="Y249" s="94" t="n"/>
    </row>
    <row r="250" ht="15.75" customHeight="1" s="163">
      <c r="A250" s="94" t="n"/>
      <c r="B250" s="94" t="n"/>
      <c r="C250" s="94" t="n"/>
      <c r="D250" s="94" t="n"/>
      <c r="E250" s="94" t="n"/>
      <c r="F250" s="94" t="n"/>
      <c r="G250" s="94" t="n"/>
      <c r="H250" s="94" t="n"/>
      <c r="I250" s="94" t="n"/>
      <c r="J250" s="94" t="n"/>
      <c r="K250" s="94" t="n"/>
      <c r="L250" s="94" t="n"/>
      <c r="M250" s="94" t="n"/>
      <c r="N250" s="94" t="n"/>
      <c r="O250" s="94" t="n"/>
      <c r="P250" s="94" t="n"/>
      <c r="Q250" s="94" t="n"/>
      <c r="R250" s="94" t="n"/>
      <c r="S250" s="94" t="n"/>
      <c r="T250" s="94" t="n"/>
      <c r="U250" s="94" t="n"/>
      <c r="V250" s="94" t="n"/>
      <c r="W250" s="94" t="n"/>
      <c r="X250" s="94" t="n"/>
      <c r="Y250" s="94" t="n"/>
    </row>
    <row r="251" ht="15.75" customHeight="1" s="163">
      <c r="A251" s="94" t="n"/>
      <c r="B251" s="94" t="n"/>
      <c r="C251" s="94" t="n"/>
      <c r="D251" s="94" t="n"/>
      <c r="E251" s="94" t="n"/>
      <c r="F251" s="94" t="n"/>
      <c r="G251" s="94" t="n"/>
      <c r="H251" s="94" t="n"/>
      <c r="I251" s="94" t="n"/>
      <c r="J251" s="94" t="n"/>
      <c r="K251" s="94" t="n"/>
      <c r="L251" s="94" t="n"/>
      <c r="M251" s="94" t="n"/>
      <c r="N251" s="94" t="n"/>
      <c r="O251" s="94" t="n"/>
      <c r="P251" s="94" t="n"/>
      <c r="Q251" s="94" t="n"/>
      <c r="R251" s="94" t="n"/>
      <c r="S251" s="94" t="n"/>
      <c r="T251" s="94" t="n"/>
      <c r="U251" s="94" t="n"/>
      <c r="V251" s="94" t="n"/>
      <c r="W251" s="94" t="n"/>
      <c r="X251" s="94" t="n"/>
      <c r="Y251" s="94" t="n"/>
    </row>
    <row r="252" ht="15.75" customHeight="1" s="163">
      <c r="A252" s="94" t="n"/>
      <c r="B252" s="94" t="n"/>
      <c r="C252" s="94" t="n"/>
      <c r="D252" s="94" t="n"/>
      <c r="E252" s="94" t="n"/>
      <c r="F252" s="94" t="n"/>
      <c r="G252" s="94" t="n"/>
      <c r="H252" s="94" t="n"/>
      <c r="I252" s="94" t="n"/>
      <c r="J252" s="94" t="n"/>
      <c r="K252" s="94" t="n"/>
      <c r="L252" s="94" t="n"/>
      <c r="M252" s="94" t="n"/>
      <c r="N252" s="94" t="n"/>
      <c r="O252" s="94" t="n"/>
      <c r="P252" s="94" t="n"/>
      <c r="Q252" s="94" t="n"/>
      <c r="R252" s="94" t="n"/>
      <c r="S252" s="94" t="n"/>
      <c r="T252" s="94" t="n"/>
      <c r="U252" s="94" t="n"/>
      <c r="V252" s="94" t="n"/>
      <c r="W252" s="94" t="n"/>
      <c r="X252" s="94" t="n"/>
      <c r="Y252" s="94" t="n"/>
    </row>
    <row r="253" ht="15.75" customHeight="1" s="163">
      <c r="A253" s="94" t="n"/>
      <c r="B253" s="94" t="n"/>
      <c r="C253" s="94" t="n"/>
      <c r="D253" s="94" t="n"/>
      <c r="E253" s="94" t="n"/>
      <c r="F253" s="94" t="n"/>
      <c r="G253" s="94" t="n"/>
      <c r="H253" s="94" t="n"/>
      <c r="I253" s="94" t="n"/>
      <c r="J253" s="94" t="n"/>
      <c r="K253" s="94" t="n"/>
      <c r="L253" s="94" t="n"/>
      <c r="M253" s="94" t="n"/>
      <c r="N253" s="94" t="n"/>
      <c r="O253" s="94" t="n"/>
      <c r="P253" s="94" t="n"/>
      <c r="Q253" s="94" t="n"/>
      <c r="R253" s="94" t="n"/>
      <c r="S253" s="94" t="n"/>
      <c r="T253" s="94" t="n"/>
      <c r="U253" s="94" t="n"/>
      <c r="V253" s="94" t="n"/>
      <c r="W253" s="94" t="n"/>
      <c r="X253" s="94" t="n"/>
      <c r="Y253" s="94" t="n"/>
    </row>
    <row r="254" ht="15.75" customHeight="1" s="163">
      <c r="A254" s="94" t="n"/>
      <c r="B254" s="94" t="n"/>
      <c r="C254" s="94" t="n"/>
      <c r="D254" s="94" t="n"/>
      <c r="E254" s="94" t="n"/>
      <c r="F254" s="94" t="n"/>
      <c r="G254" s="94" t="n"/>
      <c r="H254" s="94" t="n"/>
      <c r="I254" s="94" t="n"/>
      <c r="J254" s="94" t="n"/>
      <c r="K254" s="94" t="n"/>
      <c r="L254" s="94" t="n"/>
      <c r="M254" s="94" t="n"/>
      <c r="N254" s="94" t="n"/>
      <c r="O254" s="94" t="n"/>
      <c r="P254" s="94" t="n"/>
      <c r="Q254" s="94" t="n"/>
      <c r="R254" s="94" t="n"/>
      <c r="S254" s="94" t="n"/>
      <c r="T254" s="94" t="n"/>
      <c r="U254" s="94" t="n"/>
      <c r="V254" s="94" t="n"/>
      <c r="W254" s="94" t="n"/>
      <c r="X254" s="94" t="n"/>
      <c r="Y254" s="94" t="n"/>
    </row>
    <row r="255" ht="15.75" customHeight="1" s="163">
      <c r="A255" s="94" t="n"/>
      <c r="B255" s="94" t="n"/>
      <c r="C255" s="94" t="n"/>
      <c r="D255" s="94" t="n"/>
      <c r="E255" s="94" t="n"/>
      <c r="F255" s="94" t="n"/>
      <c r="G255" s="94" t="n"/>
      <c r="H255" s="94" t="n"/>
      <c r="I255" s="94" t="n"/>
      <c r="J255" s="94" t="n"/>
      <c r="K255" s="94" t="n"/>
      <c r="L255" s="94" t="n"/>
      <c r="M255" s="94" t="n"/>
      <c r="N255" s="94" t="n"/>
      <c r="O255" s="94" t="n"/>
      <c r="P255" s="94" t="n"/>
      <c r="Q255" s="94" t="n"/>
      <c r="R255" s="94" t="n"/>
      <c r="S255" s="94" t="n"/>
      <c r="T255" s="94" t="n"/>
      <c r="U255" s="94" t="n"/>
      <c r="V255" s="94" t="n"/>
      <c r="W255" s="94" t="n"/>
      <c r="X255" s="94" t="n"/>
      <c r="Y255" s="94" t="n"/>
    </row>
    <row r="256" ht="15.75" customHeight="1" s="163">
      <c r="A256" s="94" t="n"/>
      <c r="B256" s="94" t="n"/>
      <c r="C256" s="94" t="n"/>
      <c r="D256" s="94" t="n"/>
      <c r="E256" s="94" t="n"/>
      <c r="F256" s="94" t="n"/>
      <c r="G256" s="94" t="n"/>
      <c r="H256" s="94" t="n"/>
      <c r="I256" s="94" t="n"/>
      <c r="J256" s="94" t="n"/>
      <c r="K256" s="94" t="n"/>
      <c r="L256" s="94" t="n"/>
      <c r="M256" s="94" t="n"/>
      <c r="N256" s="94" t="n"/>
      <c r="O256" s="94" t="n"/>
      <c r="P256" s="94" t="n"/>
      <c r="Q256" s="94" t="n"/>
      <c r="R256" s="94" t="n"/>
      <c r="S256" s="94" t="n"/>
      <c r="T256" s="94" t="n"/>
      <c r="U256" s="94" t="n"/>
      <c r="V256" s="94" t="n"/>
      <c r="W256" s="94" t="n"/>
      <c r="X256" s="94" t="n"/>
      <c r="Y256" s="94" t="n"/>
    </row>
    <row r="257" ht="15.75" customHeight="1" s="163">
      <c r="A257" s="94" t="n"/>
      <c r="B257" s="94" t="n"/>
      <c r="C257" s="94" t="n"/>
      <c r="D257" s="94" t="n"/>
      <c r="E257" s="94" t="n"/>
      <c r="F257" s="94" t="n"/>
      <c r="G257" s="94" t="n"/>
      <c r="H257" s="94" t="n"/>
      <c r="I257" s="94" t="n"/>
      <c r="J257" s="94" t="n"/>
      <c r="K257" s="94" t="n"/>
      <c r="L257" s="94" t="n"/>
      <c r="M257" s="94" t="n"/>
      <c r="N257" s="94" t="n"/>
      <c r="O257" s="94" t="n"/>
      <c r="P257" s="94" t="n"/>
      <c r="Q257" s="94" t="n"/>
      <c r="R257" s="94" t="n"/>
      <c r="S257" s="94" t="n"/>
      <c r="T257" s="94" t="n"/>
      <c r="U257" s="94" t="n"/>
      <c r="V257" s="94" t="n"/>
      <c r="W257" s="94" t="n"/>
      <c r="X257" s="94" t="n"/>
      <c r="Y257" s="94" t="n"/>
    </row>
    <row r="258" ht="15.75" customHeight="1" s="163">
      <c r="A258" s="94" t="n"/>
      <c r="B258" s="94" t="n"/>
      <c r="C258" s="94" t="n"/>
      <c r="D258" s="94" t="n"/>
      <c r="E258" s="94" t="n"/>
      <c r="F258" s="94" t="n"/>
      <c r="G258" s="94" t="n"/>
      <c r="H258" s="94" t="n"/>
      <c r="I258" s="94" t="n"/>
      <c r="J258" s="94" t="n"/>
      <c r="K258" s="94" t="n"/>
      <c r="L258" s="94" t="n"/>
      <c r="M258" s="94" t="n"/>
      <c r="N258" s="94" t="n"/>
      <c r="O258" s="94" t="n"/>
      <c r="P258" s="94" t="n"/>
      <c r="Q258" s="94" t="n"/>
      <c r="R258" s="94" t="n"/>
      <c r="S258" s="94" t="n"/>
      <c r="T258" s="94" t="n"/>
      <c r="U258" s="94" t="n"/>
      <c r="V258" s="94" t="n"/>
      <c r="W258" s="94" t="n"/>
      <c r="X258" s="94" t="n"/>
      <c r="Y258" s="94" t="n"/>
    </row>
    <row r="259" ht="15.75" customHeight="1" s="163">
      <c r="A259" s="94" t="n"/>
      <c r="B259" s="94" t="n"/>
      <c r="C259" s="94" t="n"/>
      <c r="D259" s="94" t="n"/>
      <c r="E259" s="94" t="n"/>
      <c r="F259" s="94" t="n"/>
      <c r="G259" s="94" t="n"/>
      <c r="H259" s="94" t="n"/>
      <c r="I259" s="94" t="n"/>
      <c r="J259" s="94" t="n"/>
      <c r="K259" s="94" t="n"/>
      <c r="L259" s="94" t="n"/>
      <c r="M259" s="94" t="n"/>
      <c r="N259" s="94" t="n"/>
      <c r="O259" s="94" t="n"/>
      <c r="P259" s="94" t="n"/>
      <c r="Q259" s="94" t="n"/>
      <c r="R259" s="94" t="n"/>
      <c r="S259" s="94" t="n"/>
      <c r="T259" s="94" t="n"/>
      <c r="U259" s="94" t="n"/>
      <c r="V259" s="94" t="n"/>
      <c r="W259" s="94" t="n"/>
      <c r="X259" s="94" t="n"/>
      <c r="Y259" s="94" t="n"/>
    </row>
    <row r="260" ht="15.75" customHeight="1" s="163">
      <c r="A260" s="94" t="n"/>
      <c r="B260" s="94" t="n"/>
      <c r="C260" s="94" t="n"/>
      <c r="D260" s="94" t="n"/>
      <c r="E260" s="94" t="n"/>
      <c r="F260" s="94" t="n"/>
      <c r="G260" s="94" t="n"/>
      <c r="H260" s="94" t="n"/>
      <c r="I260" s="94" t="n"/>
      <c r="J260" s="94" t="n"/>
      <c r="K260" s="94" t="n"/>
      <c r="L260" s="94" t="n"/>
      <c r="M260" s="94" t="n"/>
      <c r="N260" s="94" t="n"/>
      <c r="O260" s="94" t="n"/>
      <c r="P260" s="94" t="n"/>
      <c r="Q260" s="94" t="n"/>
      <c r="R260" s="94" t="n"/>
      <c r="S260" s="94" t="n"/>
      <c r="T260" s="94" t="n"/>
      <c r="U260" s="94" t="n"/>
      <c r="V260" s="94" t="n"/>
      <c r="W260" s="94" t="n"/>
      <c r="X260" s="94" t="n"/>
      <c r="Y260" s="94" t="n"/>
    </row>
    <row r="261" ht="15.75" customHeight="1" s="163">
      <c r="A261" s="94" t="n"/>
      <c r="B261" s="94" t="n"/>
      <c r="C261" s="94" t="n"/>
      <c r="D261" s="94" t="n"/>
      <c r="E261" s="94" t="n"/>
      <c r="F261" s="94" t="n"/>
      <c r="G261" s="94" t="n"/>
      <c r="H261" s="94" t="n"/>
      <c r="I261" s="94" t="n"/>
      <c r="J261" s="94" t="n"/>
      <c r="K261" s="94" t="n"/>
      <c r="L261" s="94" t="n"/>
      <c r="M261" s="94" t="n"/>
      <c r="N261" s="94" t="n"/>
      <c r="O261" s="94" t="n"/>
      <c r="P261" s="94" t="n"/>
      <c r="Q261" s="94" t="n"/>
      <c r="R261" s="94" t="n"/>
      <c r="S261" s="94" t="n"/>
      <c r="T261" s="94" t="n"/>
      <c r="U261" s="94" t="n"/>
      <c r="V261" s="94" t="n"/>
      <c r="W261" s="94" t="n"/>
      <c r="X261" s="94" t="n"/>
      <c r="Y261" s="94" t="n"/>
    </row>
    <row r="262" ht="15.75" customHeight="1" s="163">
      <c r="A262" s="94" t="n"/>
      <c r="B262" s="94" t="n"/>
      <c r="C262" s="94" t="n"/>
      <c r="D262" s="94" t="n"/>
      <c r="E262" s="94" t="n"/>
      <c r="F262" s="94" t="n"/>
      <c r="G262" s="94" t="n"/>
      <c r="H262" s="94" t="n"/>
      <c r="I262" s="94" t="n"/>
      <c r="J262" s="94" t="n"/>
      <c r="K262" s="94" t="n"/>
      <c r="L262" s="94" t="n"/>
      <c r="M262" s="94" t="n"/>
      <c r="N262" s="94" t="n"/>
      <c r="O262" s="94" t="n"/>
      <c r="P262" s="94" t="n"/>
      <c r="Q262" s="94" t="n"/>
      <c r="R262" s="94" t="n"/>
      <c r="S262" s="94" t="n"/>
      <c r="T262" s="94" t="n"/>
      <c r="U262" s="94" t="n"/>
      <c r="V262" s="94" t="n"/>
      <c r="W262" s="94" t="n"/>
      <c r="X262" s="94" t="n"/>
      <c r="Y262" s="94" t="n"/>
    </row>
    <row r="263" ht="15.75" customHeight="1" s="163">
      <c r="A263" s="94" t="n"/>
      <c r="B263" s="94" t="n"/>
      <c r="C263" s="94" t="n"/>
      <c r="D263" s="94" t="n"/>
      <c r="E263" s="94" t="n"/>
      <c r="F263" s="94" t="n"/>
      <c r="G263" s="94" t="n"/>
      <c r="H263" s="94" t="n"/>
      <c r="I263" s="94" t="n"/>
      <c r="J263" s="94" t="n"/>
      <c r="K263" s="94" t="n"/>
      <c r="L263" s="94" t="n"/>
      <c r="M263" s="94" t="n"/>
      <c r="N263" s="94" t="n"/>
      <c r="O263" s="94" t="n"/>
      <c r="P263" s="94" t="n"/>
      <c r="Q263" s="94" t="n"/>
      <c r="R263" s="94" t="n"/>
      <c r="S263" s="94" t="n"/>
      <c r="T263" s="94" t="n"/>
      <c r="U263" s="94" t="n"/>
      <c r="V263" s="94" t="n"/>
      <c r="W263" s="94" t="n"/>
      <c r="X263" s="94" t="n"/>
      <c r="Y263" s="94" t="n"/>
    </row>
    <row r="264" ht="15.75" customHeight="1" s="163">
      <c r="A264" s="94" t="n"/>
      <c r="B264" s="94" t="n"/>
      <c r="C264" s="94" t="n"/>
      <c r="D264" s="94" t="n"/>
      <c r="E264" s="94" t="n"/>
      <c r="F264" s="94" t="n"/>
      <c r="G264" s="94" t="n"/>
      <c r="H264" s="94" t="n"/>
      <c r="I264" s="94" t="n"/>
      <c r="J264" s="94" t="n"/>
      <c r="K264" s="94" t="n"/>
      <c r="L264" s="94" t="n"/>
      <c r="M264" s="94" t="n"/>
      <c r="N264" s="94" t="n"/>
      <c r="O264" s="94" t="n"/>
      <c r="P264" s="94" t="n"/>
      <c r="Q264" s="94" t="n"/>
      <c r="R264" s="94" t="n"/>
      <c r="S264" s="94" t="n"/>
      <c r="T264" s="94" t="n"/>
      <c r="U264" s="94" t="n"/>
      <c r="V264" s="94" t="n"/>
      <c r="W264" s="94" t="n"/>
      <c r="X264" s="94" t="n"/>
      <c r="Y264" s="94" t="n"/>
    </row>
    <row r="265" ht="15.75" customHeight="1" s="163">
      <c r="A265" s="94" t="n"/>
      <c r="B265" s="94" t="n"/>
      <c r="C265" s="94" t="n"/>
      <c r="D265" s="94" t="n"/>
      <c r="E265" s="94" t="n"/>
      <c r="F265" s="94" t="n"/>
      <c r="G265" s="94" t="n"/>
      <c r="H265" s="94" t="n"/>
      <c r="I265" s="94" t="n"/>
      <c r="J265" s="94" t="n"/>
      <c r="K265" s="94" t="n"/>
      <c r="L265" s="94" t="n"/>
      <c r="M265" s="94" t="n"/>
      <c r="N265" s="94" t="n"/>
      <c r="O265" s="94" t="n"/>
      <c r="P265" s="94" t="n"/>
      <c r="Q265" s="94" t="n"/>
      <c r="R265" s="94" t="n"/>
      <c r="S265" s="94" t="n"/>
      <c r="T265" s="94" t="n"/>
      <c r="U265" s="94" t="n"/>
      <c r="V265" s="94" t="n"/>
      <c r="W265" s="94" t="n"/>
      <c r="X265" s="94" t="n"/>
      <c r="Y265" s="94" t="n"/>
    </row>
    <row r="266" ht="15.75" customHeight="1" s="163">
      <c r="A266" s="94" t="n"/>
      <c r="B266" s="94" t="n"/>
      <c r="C266" s="94" t="n"/>
      <c r="D266" s="94" t="n"/>
      <c r="E266" s="94" t="n"/>
      <c r="F266" s="94" t="n"/>
      <c r="G266" s="94" t="n"/>
      <c r="H266" s="94" t="n"/>
      <c r="I266" s="94" t="n"/>
      <c r="J266" s="94" t="n"/>
      <c r="K266" s="94" t="n"/>
      <c r="L266" s="94" t="n"/>
      <c r="M266" s="94" t="n"/>
      <c r="N266" s="94" t="n"/>
      <c r="O266" s="94" t="n"/>
      <c r="P266" s="94" t="n"/>
      <c r="Q266" s="94" t="n"/>
      <c r="R266" s="94" t="n"/>
      <c r="S266" s="94" t="n"/>
      <c r="T266" s="94" t="n"/>
      <c r="U266" s="94" t="n"/>
      <c r="V266" s="94" t="n"/>
      <c r="W266" s="94" t="n"/>
      <c r="X266" s="94" t="n"/>
      <c r="Y266" s="94" t="n"/>
    </row>
    <row r="267" ht="15.75" customHeight="1" s="163">
      <c r="A267" s="94" t="n"/>
      <c r="B267" s="94" t="n"/>
      <c r="C267" s="94" t="n"/>
      <c r="D267" s="94" t="n"/>
      <c r="E267" s="94" t="n"/>
      <c r="F267" s="94" t="n"/>
      <c r="G267" s="94" t="n"/>
      <c r="H267" s="94" t="n"/>
      <c r="I267" s="94" t="n"/>
      <c r="J267" s="94" t="n"/>
      <c r="K267" s="94" t="n"/>
      <c r="L267" s="94" t="n"/>
      <c r="M267" s="94" t="n"/>
      <c r="N267" s="94" t="n"/>
      <c r="O267" s="94" t="n"/>
      <c r="P267" s="94" t="n"/>
      <c r="Q267" s="94" t="n"/>
      <c r="R267" s="94" t="n"/>
      <c r="S267" s="94" t="n"/>
      <c r="T267" s="94" t="n"/>
      <c r="U267" s="94" t="n"/>
      <c r="V267" s="94" t="n"/>
      <c r="W267" s="94" t="n"/>
      <c r="X267" s="94" t="n"/>
      <c r="Y267" s="94" t="n"/>
    </row>
    <row r="268" ht="15.75" customHeight="1" s="163">
      <c r="A268" s="94" t="n"/>
      <c r="B268" s="94" t="n"/>
      <c r="C268" s="94" t="n"/>
      <c r="D268" s="94" t="n"/>
      <c r="E268" s="94" t="n"/>
      <c r="F268" s="94" t="n"/>
      <c r="G268" s="94" t="n"/>
      <c r="H268" s="94" t="n"/>
      <c r="I268" s="94" t="n"/>
      <c r="J268" s="94" t="n"/>
      <c r="K268" s="94" t="n"/>
      <c r="L268" s="94" t="n"/>
      <c r="M268" s="94" t="n"/>
      <c r="N268" s="94" t="n"/>
      <c r="O268" s="94" t="n"/>
      <c r="P268" s="94" t="n"/>
      <c r="Q268" s="94" t="n"/>
      <c r="R268" s="94" t="n"/>
      <c r="S268" s="94" t="n"/>
      <c r="T268" s="94" t="n"/>
      <c r="U268" s="94" t="n"/>
      <c r="V268" s="94" t="n"/>
      <c r="W268" s="94" t="n"/>
      <c r="X268" s="94" t="n"/>
      <c r="Y268" s="94" t="n"/>
    </row>
    <row r="269" ht="15.75" customHeight="1" s="163">
      <c r="A269" s="94" t="n"/>
      <c r="B269" s="94" t="n"/>
      <c r="C269" s="94" t="n"/>
      <c r="D269" s="94" t="n"/>
      <c r="E269" s="94" t="n"/>
      <c r="F269" s="94" t="n"/>
      <c r="G269" s="94" t="n"/>
      <c r="H269" s="94" t="n"/>
      <c r="I269" s="94" t="n"/>
      <c r="J269" s="94" t="n"/>
      <c r="K269" s="94" t="n"/>
      <c r="L269" s="94" t="n"/>
      <c r="M269" s="94" t="n"/>
      <c r="N269" s="94" t="n"/>
      <c r="O269" s="94" t="n"/>
      <c r="P269" s="94" t="n"/>
      <c r="Q269" s="94" t="n"/>
      <c r="R269" s="94" t="n"/>
      <c r="S269" s="94" t="n"/>
      <c r="T269" s="94" t="n"/>
      <c r="U269" s="94" t="n"/>
      <c r="V269" s="94" t="n"/>
      <c r="W269" s="94" t="n"/>
      <c r="X269" s="94" t="n"/>
      <c r="Y269" s="94" t="n"/>
    </row>
    <row r="270" ht="15.75" customHeight="1" s="163">
      <c r="A270" s="94" t="n"/>
      <c r="B270" s="94" t="n"/>
      <c r="C270" s="94" t="n"/>
      <c r="D270" s="94" t="n"/>
      <c r="E270" s="94" t="n"/>
      <c r="F270" s="94" t="n"/>
      <c r="G270" s="94" t="n"/>
      <c r="H270" s="94" t="n"/>
      <c r="I270" s="94" t="n"/>
      <c r="J270" s="94" t="n"/>
      <c r="K270" s="94" t="n"/>
      <c r="L270" s="94" t="n"/>
      <c r="M270" s="94" t="n"/>
      <c r="N270" s="94" t="n"/>
      <c r="O270" s="94" t="n"/>
      <c r="P270" s="94" t="n"/>
      <c r="Q270" s="94" t="n"/>
      <c r="R270" s="94" t="n"/>
      <c r="S270" s="94" t="n"/>
      <c r="T270" s="94" t="n"/>
      <c r="U270" s="94" t="n"/>
      <c r="V270" s="94" t="n"/>
      <c r="W270" s="94" t="n"/>
      <c r="X270" s="94" t="n"/>
      <c r="Y270" s="94" t="n"/>
    </row>
    <row r="271" ht="15.75" customHeight="1" s="163">
      <c r="A271" s="94" t="n"/>
      <c r="B271" s="94" t="n"/>
      <c r="C271" s="94" t="n"/>
      <c r="D271" s="94" t="n"/>
      <c r="E271" s="94" t="n"/>
      <c r="F271" s="94" t="n"/>
      <c r="G271" s="94" t="n"/>
      <c r="H271" s="94" t="n"/>
      <c r="I271" s="94" t="n"/>
      <c r="J271" s="94" t="n"/>
      <c r="K271" s="94" t="n"/>
      <c r="L271" s="94" t="n"/>
      <c r="M271" s="94" t="n"/>
      <c r="N271" s="94" t="n"/>
      <c r="O271" s="94" t="n"/>
      <c r="P271" s="94" t="n"/>
      <c r="Q271" s="94" t="n"/>
      <c r="R271" s="94" t="n"/>
      <c r="S271" s="94" t="n"/>
      <c r="T271" s="94" t="n"/>
      <c r="U271" s="94" t="n"/>
      <c r="V271" s="94" t="n"/>
      <c r="W271" s="94" t="n"/>
      <c r="X271" s="94" t="n"/>
      <c r="Y271" s="94" t="n"/>
    </row>
    <row r="272" ht="15.75" customHeight="1" s="163">
      <c r="A272" s="94" t="n"/>
      <c r="B272" s="94" t="n"/>
      <c r="C272" s="94" t="n"/>
      <c r="D272" s="94" t="n"/>
      <c r="E272" s="94" t="n"/>
      <c r="F272" s="94" t="n"/>
      <c r="G272" s="94" t="n"/>
      <c r="H272" s="94" t="n"/>
      <c r="I272" s="94" t="n"/>
      <c r="J272" s="94" t="n"/>
      <c r="K272" s="94" t="n"/>
      <c r="L272" s="94" t="n"/>
      <c r="M272" s="94" t="n"/>
      <c r="N272" s="94" t="n"/>
      <c r="O272" s="94" t="n"/>
      <c r="P272" s="94" t="n"/>
      <c r="Q272" s="94" t="n"/>
      <c r="R272" s="94" t="n"/>
      <c r="S272" s="94" t="n"/>
      <c r="T272" s="94" t="n"/>
      <c r="U272" s="94" t="n"/>
      <c r="V272" s="94" t="n"/>
      <c r="W272" s="94" t="n"/>
      <c r="X272" s="94" t="n"/>
      <c r="Y272" s="94" t="n"/>
    </row>
    <row r="273" ht="15.75" customHeight="1" s="163">
      <c r="A273" s="94" t="n"/>
      <c r="B273" s="94" t="n"/>
      <c r="C273" s="94" t="n"/>
      <c r="D273" s="94" t="n"/>
      <c r="E273" s="94" t="n"/>
      <c r="F273" s="94" t="n"/>
      <c r="G273" s="94" t="n"/>
      <c r="H273" s="94" t="n"/>
      <c r="I273" s="94" t="n"/>
      <c r="J273" s="94" t="n"/>
      <c r="K273" s="94" t="n"/>
      <c r="L273" s="94" t="n"/>
      <c r="M273" s="94" t="n"/>
      <c r="N273" s="94" t="n"/>
      <c r="O273" s="94" t="n"/>
      <c r="P273" s="94" t="n"/>
      <c r="Q273" s="94" t="n"/>
      <c r="R273" s="94" t="n"/>
      <c r="S273" s="94" t="n"/>
      <c r="T273" s="94" t="n"/>
      <c r="U273" s="94" t="n"/>
      <c r="V273" s="94" t="n"/>
      <c r="W273" s="94" t="n"/>
      <c r="X273" s="94" t="n"/>
      <c r="Y273" s="94" t="n"/>
    </row>
    <row r="274" ht="15.75" customHeight="1" s="163">
      <c r="A274" s="94" t="n"/>
      <c r="B274" s="94" t="n"/>
      <c r="C274" s="94" t="n"/>
      <c r="D274" s="94" t="n"/>
      <c r="E274" s="94" t="n"/>
      <c r="F274" s="94" t="n"/>
      <c r="G274" s="94" t="n"/>
      <c r="H274" s="94" t="n"/>
      <c r="I274" s="94" t="n"/>
      <c r="J274" s="94" t="n"/>
      <c r="K274" s="94" t="n"/>
      <c r="L274" s="94" t="n"/>
      <c r="M274" s="94" t="n"/>
      <c r="N274" s="94" t="n"/>
      <c r="O274" s="94" t="n"/>
      <c r="P274" s="94" t="n"/>
      <c r="Q274" s="94" t="n"/>
      <c r="R274" s="94" t="n"/>
      <c r="S274" s="94" t="n"/>
      <c r="T274" s="94" t="n"/>
      <c r="U274" s="94" t="n"/>
      <c r="V274" s="94" t="n"/>
      <c r="W274" s="94" t="n"/>
      <c r="X274" s="94" t="n"/>
      <c r="Y274" s="94" t="n"/>
    </row>
    <row r="275" ht="15.75" customHeight="1" s="163">
      <c r="A275" s="94" t="n"/>
      <c r="B275" s="94" t="n"/>
      <c r="C275" s="94" t="n"/>
      <c r="D275" s="94" t="n"/>
      <c r="E275" s="94" t="n"/>
      <c r="F275" s="94" t="n"/>
      <c r="G275" s="94" t="n"/>
      <c r="H275" s="94" t="n"/>
      <c r="I275" s="94" t="n"/>
      <c r="J275" s="94" t="n"/>
      <c r="K275" s="94" t="n"/>
      <c r="L275" s="94" t="n"/>
      <c r="M275" s="94" t="n"/>
      <c r="N275" s="94" t="n"/>
      <c r="O275" s="94" t="n"/>
      <c r="P275" s="94" t="n"/>
      <c r="Q275" s="94" t="n"/>
      <c r="R275" s="94" t="n"/>
      <c r="S275" s="94" t="n"/>
      <c r="T275" s="94" t="n"/>
      <c r="U275" s="94" t="n"/>
      <c r="V275" s="94" t="n"/>
      <c r="W275" s="94" t="n"/>
      <c r="X275" s="94" t="n"/>
      <c r="Y275" s="94" t="n"/>
    </row>
    <row r="276" ht="15.75" customHeight="1" s="163">
      <c r="A276" s="94" t="n"/>
      <c r="B276" s="94" t="n"/>
      <c r="C276" s="94" t="n"/>
      <c r="D276" s="94" t="n"/>
      <c r="E276" s="94" t="n"/>
      <c r="F276" s="94" t="n"/>
      <c r="G276" s="94" t="n"/>
      <c r="H276" s="94" t="n"/>
      <c r="I276" s="94" t="n"/>
      <c r="J276" s="94" t="n"/>
      <c r="K276" s="94" t="n"/>
      <c r="L276" s="94" t="n"/>
      <c r="M276" s="94" t="n"/>
      <c r="N276" s="94" t="n"/>
      <c r="O276" s="94" t="n"/>
      <c r="P276" s="94" t="n"/>
      <c r="Q276" s="94" t="n"/>
      <c r="R276" s="94" t="n"/>
      <c r="S276" s="94" t="n"/>
      <c r="T276" s="94" t="n"/>
      <c r="U276" s="94" t="n"/>
      <c r="V276" s="94" t="n"/>
      <c r="W276" s="94" t="n"/>
      <c r="X276" s="94" t="n"/>
      <c r="Y276" s="94" t="n"/>
    </row>
    <row r="277" ht="15.75" customHeight="1" s="163">
      <c r="A277" s="94" t="n"/>
      <c r="B277" s="94" t="n"/>
      <c r="C277" s="94" t="n"/>
      <c r="D277" s="94" t="n"/>
      <c r="E277" s="94" t="n"/>
      <c r="F277" s="94" t="n"/>
      <c r="G277" s="94" t="n"/>
      <c r="H277" s="94" t="n"/>
      <c r="I277" s="94" t="n"/>
      <c r="J277" s="94" t="n"/>
      <c r="K277" s="94" t="n"/>
      <c r="L277" s="94" t="n"/>
      <c r="M277" s="94" t="n"/>
      <c r="N277" s="94" t="n"/>
      <c r="O277" s="94" t="n"/>
      <c r="P277" s="94" t="n"/>
      <c r="Q277" s="94" t="n"/>
      <c r="R277" s="94" t="n"/>
      <c r="S277" s="94" t="n"/>
      <c r="T277" s="94" t="n"/>
      <c r="U277" s="94" t="n"/>
      <c r="V277" s="94" t="n"/>
      <c r="W277" s="94" t="n"/>
      <c r="X277" s="94" t="n"/>
      <c r="Y277" s="94" t="n"/>
    </row>
    <row r="278" ht="15.75" customHeight="1" s="163">
      <c r="A278" s="94" t="n"/>
      <c r="B278" s="94" t="n"/>
      <c r="C278" s="94" t="n"/>
      <c r="D278" s="94" t="n"/>
      <c r="E278" s="94" t="n"/>
      <c r="F278" s="94" t="n"/>
      <c r="G278" s="94" t="n"/>
      <c r="H278" s="94" t="n"/>
      <c r="I278" s="94" t="n"/>
      <c r="J278" s="94" t="n"/>
      <c r="K278" s="94" t="n"/>
      <c r="L278" s="94" t="n"/>
      <c r="M278" s="94" t="n"/>
      <c r="N278" s="94" t="n"/>
      <c r="O278" s="94" t="n"/>
      <c r="P278" s="94" t="n"/>
      <c r="Q278" s="94" t="n"/>
      <c r="R278" s="94" t="n"/>
      <c r="S278" s="94" t="n"/>
      <c r="T278" s="94" t="n"/>
      <c r="U278" s="94" t="n"/>
      <c r="V278" s="94" t="n"/>
      <c r="W278" s="94" t="n"/>
      <c r="X278" s="94" t="n"/>
      <c r="Y278" s="94" t="n"/>
    </row>
    <row r="279" ht="15.75" customHeight="1" s="163">
      <c r="A279" s="94" t="n"/>
      <c r="B279" s="94" t="n"/>
      <c r="C279" s="94" t="n"/>
      <c r="D279" s="94" t="n"/>
      <c r="E279" s="94" t="n"/>
      <c r="F279" s="94" t="n"/>
      <c r="G279" s="94" t="n"/>
      <c r="H279" s="94" t="n"/>
      <c r="I279" s="94" t="n"/>
      <c r="J279" s="94" t="n"/>
      <c r="K279" s="94" t="n"/>
      <c r="L279" s="94" t="n"/>
      <c r="M279" s="94" t="n"/>
      <c r="N279" s="94" t="n"/>
      <c r="O279" s="94" t="n"/>
      <c r="P279" s="94" t="n"/>
      <c r="Q279" s="94" t="n"/>
      <c r="R279" s="94" t="n"/>
      <c r="S279" s="94" t="n"/>
      <c r="T279" s="94" t="n"/>
      <c r="U279" s="94" t="n"/>
      <c r="V279" s="94" t="n"/>
      <c r="W279" s="94" t="n"/>
      <c r="X279" s="94" t="n"/>
      <c r="Y279" s="94" t="n"/>
    </row>
    <row r="280" ht="15.75" customHeight="1" s="163">
      <c r="A280" s="94" t="n"/>
      <c r="B280" s="94" t="n"/>
      <c r="C280" s="94" t="n"/>
      <c r="D280" s="94" t="n"/>
      <c r="E280" s="94" t="n"/>
      <c r="F280" s="94" t="n"/>
      <c r="G280" s="94" t="n"/>
      <c r="H280" s="94" t="n"/>
      <c r="I280" s="94" t="n"/>
      <c r="J280" s="94" t="n"/>
      <c r="K280" s="94" t="n"/>
      <c r="L280" s="94" t="n"/>
      <c r="M280" s="94" t="n"/>
      <c r="N280" s="94" t="n"/>
      <c r="O280" s="94" t="n"/>
      <c r="P280" s="94" t="n"/>
      <c r="Q280" s="94" t="n"/>
      <c r="R280" s="94" t="n"/>
      <c r="S280" s="94" t="n"/>
      <c r="T280" s="94" t="n"/>
      <c r="U280" s="94" t="n"/>
      <c r="V280" s="94" t="n"/>
      <c r="W280" s="94" t="n"/>
      <c r="X280" s="94" t="n"/>
      <c r="Y280" s="94" t="n"/>
    </row>
    <row r="281" ht="15.75" customHeight="1" s="163">
      <c r="A281" s="94" t="n"/>
      <c r="B281" s="94" t="n"/>
      <c r="C281" s="94" t="n"/>
      <c r="D281" s="94" t="n"/>
      <c r="E281" s="94" t="n"/>
      <c r="F281" s="94" t="n"/>
      <c r="G281" s="94" t="n"/>
      <c r="H281" s="94" t="n"/>
      <c r="I281" s="94" t="n"/>
      <c r="J281" s="94" t="n"/>
      <c r="K281" s="94" t="n"/>
      <c r="L281" s="94" t="n"/>
      <c r="M281" s="94" t="n"/>
      <c r="N281" s="94" t="n"/>
      <c r="O281" s="94" t="n"/>
      <c r="P281" s="94" t="n"/>
      <c r="Q281" s="94" t="n"/>
      <c r="R281" s="94" t="n"/>
      <c r="S281" s="94" t="n"/>
      <c r="T281" s="94" t="n"/>
      <c r="U281" s="94" t="n"/>
      <c r="V281" s="94" t="n"/>
      <c r="W281" s="94" t="n"/>
      <c r="X281" s="94" t="n"/>
      <c r="Y281" s="94" t="n"/>
    </row>
    <row r="282" ht="15.75" customHeight="1" s="163">
      <c r="A282" s="97" t="n"/>
      <c r="B282" s="97" t="n"/>
      <c r="C282" s="97" t="n"/>
      <c r="D282" s="97" t="n"/>
      <c r="E282" s="97" t="n"/>
      <c r="F282" s="97" t="n"/>
    </row>
    <row r="283" ht="15.75" customHeight="1" s="163">
      <c r="A283" s="97" t="n"/>
      <c r="B283" s="97" t="n"/>
      <c r="C283" s="97" t="n"/>
      <c r="D283" s="97" t="n"/>
      <c r="E283" s="97" t="n"/>
      <c r="F283" s="97" t="n"/>
    </row>
    <row r="284" ht="15.75" customHeight="1" s="163">
      <c r="A284" s="97" t="n"/>
      <c r="B284" s="97" t="n"/>
      <c r="C284" s="97" t="n"/>
      <c r="D284" s="97" t="n"/>
      <c r="E284" s="97" t="n"/>
      <c r="F284" s="97" t="n"/>
    </row>
    <row r="285" ht="15.75" customHeight="1" s="163">
      <c r="A285" s="97" t="n"/>
      <c r="B285" s="97" t="n"/>
      <c r="C285" s="97" t="n"/>
      <c r="D285" s="97" t="n"/>
      <c r="E285" s="97" t="n"/>
      <c r="F285" s="97" t="n"/>
    </row>
    <row r="286" ht="15.75" customHeight="1" s="163">
      <c r="A286" s="97" t="n"/>
      <c r="B286" s="97" t="n"/>
      <c r="C286" s="97" t="n"/>
      <c r="D286" s="97" t="n"/>
      <c r="E286" s="97" t="n"/>
      <c r="F286" s="97" t="n"/>
    </row>
    <row r="287" ht="15.75" customHeight="1" s="163">
      <c r="A287" s="97" t="n"/>
      <c r="B287" s="97" t="n"/>
      <c r="C287" s="97" t="n"/>
      <c r="D287" s="97" t="n"/>
      <c r="E287" s="97" t="n"/>
      <c r="F287" s="97" t="n"/>
    </row>
    <row r="288" ht="15.75" customHeight="1" s="163">
      <c r="A288" s="97" t="n"/>
      <c r="B288" s="97" t="n"/>
      <c r="C288" s="97" t="n"/>
      <c r="D288" s="97" t="n"/>
      <c r="E288" s="97" t="n"/>
      <c r="F288" s="97" t="n"/>
    </row>
    <row r="289" ht="15.75" customHeight="1" s="163">
      <c r="A289" s="97" t="n"/>
      <c r="B289" s="97" t="n"/>
      <c r="C289" s="97" t="n"/>
      <c r="D289" s="97" t="n"/>
      <c r="E289" s="97" t="n"/>
      <c r="F289" s="97" t="n"/>
    </row>
    <row r="290" ht="15.75" customHeight="1" s="163">
      <c r="A290" s="97" t="n"/>
      <c r="B290" s="97" t="n"/>
      <c r="C290" s="97" t="n"/>
      <c r="D290" s="97" t="n"/>
      <c r="E290" s="97" t="n"/>
      <c r="F290" s="97" t="n"/>
    </row>
    <row r="291" ht="15.75" customHeight="1" s="163">
      <c r="A291" s="97" t="n"/>
      <c r="B291" s="97" t="n"/>
      <c r="C291" s="97" t="n"/>
      <c r="D291" s="97" t="n"/>
      <c r="E291" s="97" t="n"/>
      <c r="F291" s="97" t="n"/>
    </row>
    <row r="292" ht="15.75" customHeight="1" s="163">
      <c r="A292" s="97" t="n"/>
      <c r="B292" s="97" t="n"/>
      <c r="C292" s="97" t="n"/>
      <c r="D292" s="97" t="n"/>
      <c r="E292" s="97" t="n"/>
      <c r="F292" s="97" t="n"/>
    </row>
    <row r="293" ht="15.75" customHeight="1" s="163">
      <c r="A293" s="97" t="n"/>
      <c r="B293" s="97" t="n"/>
      <c r="C293" s="97" t="n"/>
      <c r="D293" s="97" t="n"/>
      <c r="E293" s="97" t="n"/>
      <c r="F293" s="97" t="n"/>
    </row>
    <row r="294" ht="15.75" customHeight="1" s="163">
      <c r="A294" s="97" t="n"/>
      <c r="B294" s="97" t="n"/>
      <c r="C294" s="97" t="n"/>
      <c r="D294" s="97" t="n"/>
      <c r="E294" s="97" t="n"/>
      <c r="F294" s="97" t="n"/>
    </row>
    <row r="295" ht="15.75" customHeight="1" s="163">
      <c r="A295" s="97" t="n"/>
      <c r="B295" s="97" t="n"/>
      <c r="C295" s="97" t="n"/>
      <c r="D295" s="97" t="n"/>
      <c r="E295" s="97" t="n"/>
      <c r="F295" s="97" t="n"/>
    </row>
    <row r="296" ht="15.75" customHeight="1" s="163">
      <c r="A296" s="97" t="n"/>
      <c r="B296" s="97" t="n"/>
      <c r="C296" s="97" t="n"/>
      <c r="D296" s="97" t="n"/>
      <c r="E296" s="97" t="n"/>
      <c r="F296" s="97" t="n"/>
    </row>
    <row r="297" ht="15.75" customHeight="1" s="163">
      <c r="A297" s="97" t="n"/>
      <c r="B297" s="97" t="n"/>
      <c r="C297" s="97" t="n"/>
      <c r="D297" s="97" t="n"/>
      <c r="E297" s="97" t="n"/>
      <c r="F297" s="97" t="n"/>
    </row>
    <row r="298" ht="15.75" customHeight="1" s="163">
      <c r="A298" s="97" t="n"/>
      <c r="B298" s="97" t="n"/>
      <c r="C298" s="97" t="n"/>
      <c r="D298" s="97" t="n"/>
      <c r="E298" s="97" t="n"/>
      <c r="F298" s="97" t="n"/>
    </row>
    <row r="299" ht="15.75" customHeight="1" s="163">
      <c r="A299" s="97" t="n"/>
      <c r="B299" s="97" t="n"/>
      <c r="C299" s="97" t="n"/>
      <c r="D299" s="97" t="n"/>
      <c r="E299" s="97" t="n"/>
      <c r="F299" s="97" t="n"/>
    </row>
    <row r="300" ht="15.75" customHeight="1" s="163">
      <c r="A300" s="97" t="n"/>
      <c r="B300" s="97" t="n"/>
      <c r="C300" s="97" t="n"/>
      <c r="D300" s="97" t="n"/>
      <c r="E300" s="97" t="n"/>
      <c r="F300" s="97" t="n"/>
    </row>
    <row r="301" ht="15.75" customHeight="1" s="163">
      <c r="A301" s="97" t="n"/>
      <c r="B301" s="97" t="n"/>
      <c r="C301" s="97" t="n"/>
      <c r="D301" s="97" t="n"/>
      <c r="E301" s="97" t="n"/>
      <c r="F301" s="97" t="n"/>
    </row>
    <row r="302" ht="15.75" customHeight="1" s="163">
      <c r="A302" s="97" t="n"/>
      <c r="B302" s="97" t="n"/>
      <c r="C302" s="97" t="n"/>
      <c r="D302" s="97" t="n"/>
      <c r="E302" s="97" t="n"/>
      <c r="F302" s="97" t="n"/>
    </row>
    <row r="303" ht="15.75" customHeight="1" s="163">
      <c r="A303" s="97" t="n"/>
      <c r="B303" s="97" t="n"/>
      <c r="C303" s="97" t="n"/>
      <c r="D303" s="97" t="n"/>
      <c r="E303" s="97" t="n"/>
      <c r="F303" s="97" t="n"/>
    </row>
    <row r="304" ht="15.75" customHeight="1" s="163">
      <c r="A304" s="97" t="n"/>
      <c r="B304" s="97" t="n"/>
      <c r="C304" s="97" t="n"/>
      <c r="D304" s="97" t="n"/>
      <c r="E304" s="97" t="n"/>
      <c r="F304" s="97" t="n"/>
    </row>
    <row r="305" ht="15.75" customHeight="1" s="163">
      <c r="A305" s="97" t="n"/>
      <c r="B305" s="97" t="n"/>
      <c r="C305" s="97" t="n"/>
      <c r="D305" s="97" t="n"/>
      <c r="E305" s="97" t="n"/>
      <c r="F305" s="97" t="n"/>
    </row>
    <row r="306" ht="15.75" customHeight="1" s="163">
      <c r="A306" s="97" t="n"/>
      <c r="B306" s="97" t="n"/>
      <c r="C306" s="97" t="n"/>
      <c r="D306" s="97" t="n"/>
      <c r="E306" s="97" t="n"/>
      <c r="F306" s="97" t="n"/>
    </row>
    <row r="307" ht="15.75" customHeight="1" s="163">
      <c r="A307" s="97" t="n"/>
      <c r="B307" s="97" t="n"/>
      <c r="C307" s="97" t="n"/>
      <c r="D307" s="97" t="n"/>
      <c r="E307" s="97" t="n"/>
      <c r="F307" s="97" t="n"/>
    </row>
    <row r="308" ht="15.75" customHeight="1" s="163">
      <c r="A308" s="97" t="n"/>
      <c r="B308" s="97" t="n"/>
      <c r="C308" s="97" t="n"/>
      <c r="D308" s="97" t="n"/>
      <c r="E308" s="97" t="n"/>
      <c r="F308" s="97" t="n"/>
    </row>
    <row r="309" ht="15.75" customHeight="1" s="163">
      <c r="A309" s="97" t="n"/>
      <c r="B309" s="97" t="n"/>
      <c r="C309" s="97" t="n"/>
      <c r="D309" s="97" t="n"/>
      <c r="E309" s="97" t="n"/>
      <c r="F309" s="97" t="n"/>
    </row>
    <row r="310" ht="15.75" customHeight="1" s="163">
      <c r="A310" s="97" t="n"/>
      <c r="B310" s="97" t="n"/>
      <c r="C310" s="97" t="n"/>
      <c r="D310" s="97" t="n"/>
      <c r="E310" s="97" t="n"/>
      <c r="F310" s="97" t="n"/>
    </row>
    <row r="311" ht="15.75" customHeight="1" s="163">
      <c r="A311" s="97" t="n"/>
      <c r="B311" s="97" t="n"/>
      <c r="C311" s="97" t="n"/>
      <c r="D311" s="97" t="n"/>
      <c r="E311" s="97" t="n"/>
      <c r="F311" s="97" t="n"/>
    </row>
    <row r="312" ht="15.75" customHeight="1" s="163">
      <c r="A312" s="97" t="n"/>
      <c r="B312" s="97" t="n"/>
      <c r="C312" s="97" t="n"/>
      <c r="D312" s="97" t="n"/>
      <c r="E312" s="97" t="n"/>
      <c r="F312" s="97" t="n"/>
    </row>
    <row r="313" ht="15.75" customHeight="1" s="163">
      <c r="A313" s="97" t="n"/>
      <c r="B313" s="97" t="n"/>
      <c r="C313" s="97" t="n"/>
      <c r="D313" s="97" t="n"/>
      <c r="E313" s="97" t="n"/>
      <c r="F313" s="97" t="n"/>
    </row>
    <row r="314" ht="15.75" customHeight="1" s="163">
      <c r="A314" s="97" t="n"/>
      <c r="B314" s="97" t="n"/>
      <c r="C314" s="97" t="n"/>
      <c r="D314" s="97" t="n"/>
      <c r="E314" s="97" t="n"/>
      <c r="F314" s="97" t="n"/>
    </row>
    <row r="315" ht="15.75" customHeight="1" s="163">
      <c r="A315" s="97" t="n"/>
      <c r="B315" s="97" t="n"/>
      <c r="C315" s="97" t="n"/>
      <c r="D315" s="97" t="n"/>
      <c r="E315" s="97" t="n"/>
      <c r="F315" s="97" t="n"/>
    </row>
    <row r="316" ht="15.75" customHeight="1" s="163">
      <c r="A316" s="97" t="n"/>
      <c r="B316" s="97" t="n"/>
      <c r="C316" s="97" t="n"/>
      <c r="D316" s="97" t="n"/>
      <c r="E316" s="97" t="n"/>
      <c r="F316" s="97" t="n"/>
    </row>
    <row r="317" ht="15.75" customHeight="1" s="163">
      <c r="A317" s="97" t="n"/>
      <c r="B317" s="97" t="n"/>
      <c r="C317" s="97" t="n"/>
      <c r="D317" s="97" t="n"/>
      <c r="E317" s="97" t="n"/>
      <c r="F317" s="97" t="n"/>
    </row>
    <row r="318" ht="15.75" customHeight="1" s="163">
      <c r="A318" s="97" t="n"/>
      <c r="B318" s="97" t="n"/>
      <c r="C318" s="97" t="n"/>
      <c r="D318" s="97" t="n"/>
      <c r="E318" s="97" t="n"/>
      <c r="F318" s="97" t="n"/>
    </row>
    <row r="319" ht="15.75" customHeight="1" s="163">
      <c r="A319" s="97" t="n"/>
      <c r="B319" s="97" t="n"/>
      <c r="C319" s="97" t="n"/>
      <c r="D319" s="97" t="n"/>
      <c r="E319" s="97" t="n"/>
      <c r="F319" s="97" t="n"/>
    </row>
    <row r="320" ht="15.75" customHeight="1" s="163">
      <c r="A320" s="97" t="n"/>
      <c r="B320" s="97" t="n"/>
      <c r="C320" s="97" t="n"/>
      <c r="D320" s="97" t="n"/>
      <c r="E320" s="97" t="n"/>
      <c r="F320" s="97" t="n"/>
    </row>
    <row r="321" ht="15.75" customHeight="1" s="163">
      <c r="A321" s="97" t="n"/>
      <c r="B321" s="97" t="n"/>
      <c r="C321" s="97" t="n"/>
      <c r="D321" s="97" t="n"/>
      <c r="E321" s="97" t="n"/>
      <c r="F321" s="97" t="n"/>
    </row>
    <row r="322" ht="15.75" customHeight="1" s="163">
      <c r="A322" s="97" t="n"/>
      <c r="B322" s="97" t="n"/>
      <c r="C322" s="97" t="n"/>
      <c r="D322" s="97" t="n"/>
      <c r="E322" s="97" t="n"/>
      <c r="F322" s="97" t="n"/>
    </row>
    <row r="323" ht="15.75" customHeight="1" s="163">
      <c r="A323" s="97" t="n"/>
      <c r="B323" s="97" t="n"/>
      <c r="C323" s="97" t="n"/>
      <c r="D323" s="97" t="n"/>
      <c r="E323" s="97" t="n"/>
      <c r="F323" s="97" t="n"/>
    </row>
    <row r="324" ht="15.75" customHeight="1" s="163">
      <c r="A324" s="97" t="n"/>
      <c r="B324" s="97" t="n"/>
      <c r="C324" s="97" t="n"/>
      <c r="D324" s="97" t="n"/>
      <c r="E324" s="97" t="n"/>
      <c r="F324" s="97" t="n"/>
    </row>
    <row r="325" ht="15.75" customHeight="1" s="163">
      <c r="A325" s="97" t="n"/>
      <c r="B325" s="97" t="n"/>
      <c r="C325" s="97" t="n"/>
      <c r="D325" s="97" t="n"/>
      <c r="E325" s="97" t="n"/>
      <c r="F325" s="97" t="n"/>
    </row>
    <row r="326" ht="15.75" customHeight="1" s="163">
      <c r="A326" s="97" t="n"/>
      <c r="B326" s="97" t="n"/>
      <c r="C326" s="97" t="n"/>
      <c r="D326" s="97" t="n"/>
      <c r="E326" s="97" t="n"/>
      <c r="F326" s="97" t="n"/>
    </row>
    <row r="327" ht="15.75" customHeight="1" s="163">
      <c r="A327" s="97" t="n"/>
      <c r="B327" s="97" t="n"/>
      <c r="C327" s="97" t="n"/>
      <c r="D327" s="97" t="n"/>
      <c r="E327" s="97" t="n"/>
      <c r="F327" s="97" t="n"/>
    </row>
    <row r="328" ht="15.75" customHeight="1" s="163">
      <c r="A328" s="97" t="n"/>
      <c r="B328" s="97" t="n"/>
      <c r="C328" s="97" t="n"/>
      <c r="D328" s="97" t="n"/>
      <c r="E328" s="97" t="n"/>
      <c r="F328" s="97" t="n"/>
    </row>
    <row r="329" ht="15.75" customHeight="1" s="163">
      <c r="A329" s="97" t="n"/>
      <c r="B329" s="97" t="n"/>
      <c r="C329" s="97" t="n"/>
      <c r="D329" s="97" t="n"/>
      <c r="E329" s="97" t="n"/>
      <c r="F329" s="97" t="n"/>
    </row>
    <row r="330" ht="15.75" customHeight="1" s="163">
      <c r="A330" s="97" t="n"/>
      <c r="B330" s="97" t="n"/>
      <c r="C330" s="97" t="n"/>
      <c r="D330" s="97" t="n"/>
      <c r="E330" s="97" t="n"/>
      <c r="F330" s="97" t="n"/>
    </row>
    <row r="331" ht="15.75" customHeight="1" s="163">
      <c r="A331" s="97" t="n"/>
      <c r="B331" s="97" t="n"/>
      <c r="C331" s="97" t="n"/>
      <c r="D331" s="97" t="n"/>
      <c r="E331" s="97" t="n"/>
      <c r="F331" s="97" t="n"/>
    </row>
    <row r="332" ht="15.75" customHeight="1" s="163">
      <c r="A332" s="97" t="n"/>
      <c r="B332" s="97" t="n"/>
      <c r="C332" s="97" t="n"/>
      <c r="D332" s="97" t="n"/>
      <c r="E332" s="97" t="n"/>
      <c r="F332" s="97" t="n"/>
    </row>
    <row r="333" ht="15.75" customHeight="1" s="163">
      <c r="A333" s="97" t="n"/>
      <c r="B333" s="97" t="n"/>
      <c r="C333" s="97" t="n"/>
      <c r="D333" s="97" t="n"/>
      <c r="E333" s="97" t="n"/>
      <c r="F333" s="97" t="n"/>
    </row>
    <row r="334" ht="15.75" customHeight="1" s="163">
      <c r="A334" s="97" t="n"/>
      <c r="B334" s="97" t="n"/>
      <c r="C334" s="97" t="n"/>
      <c r="D334" s="97" t="n"/>
      <c r="E334" s="97" t="n"/>
      <c r="F334" s="97" t="n"/>
    </row>
    <row r="335" ht="15.75" customHeight="1" s="163">
      <c r="A335" s="97" t="n"/>
      <c r="B335" s="97" t="n"/>
      <c r="C335" s="97" t="n"/>
      <c r="D335" s="97" t="n"/>
      <c r="E335" s="97" t="n"/>
      <c r="F335" s="97" t="n"/>
    </row>
    <row r="336" ht="15.75" customHeight="1" s="163">
      <c r="A336" s="97" t="n"/>
      <c r="B336" s="97" t="n"/>
      <c r="C336" s="97" t="n"/>
      <c r="D336" s="97" t="n"/>
      <c r="E336" s="97" t="n"/>
      <c r="F336" s="97" t="n"/>
    </row>
    <row r="337" ht="15.75" customHeight="1" s="163">
      <c r="A337" s="97" t="n"/>
      <c r="B337" s="97" t="n"/>
      <c r="C337" s="97" t="n"/>
      <c r="D337" s="97" t="n"/>
      <c r="E337" s="97" t="n"/>
      <c r="F337" s="97" t="n"/>
    </row>
    <row r="338" ht="15.75" customHeight="1" s="163">
      <c r="A338" s="97" t="n"/>
      <c r="B338" s="97" t="n"/>
      <c r="C338" s="97" t="n"/>
      <c r="D338" s="97" t="n"/>
      <c r="E338" s="97" t="n"/>
      <c r="F338" s="97" t="n"/>
    </row>
    <row r="339" ht="15.75" customHeight="1" s="163">
      <c r="A339" s="97" t="n"/>
      <c r="B339" s="97" t="n"/>
      <c r="C339" s="97" t="n"/>
      <c r="D339" s="97" t="n"/>
      <c r="E339" s="97" t="n"/>
      <c r="F339" s="97" t="n"/>
    </row>
    <row r="340" ht="15.75" customHeight="1" s="163">
      <c r="A340" s="97" t="n"/>
      <c r="B340" s="97" t="n"/>
      <c r="C340" s="97" t="n"/>
      <c r="D340" s="97" t="n"/>
      <c r="E340" s="97" t="n"/>
      <c r="F340" s="97" t="n"/>
    </row>
    <row r="341" ht="15.75" customHeight="1" s="163">
      <c r="A341" s="97" t="n"/>
      <c r="B341" s="97" t="n"/>
      <c r="C341" s="97" t="n"/>
      <c r="D341" s="97" t="n"/>
      <c r="E341" s="97" t="n"/>
      <c r="F341" s="97" t="n"/>
    </row>
    <row r="342" ht="15.75" customHeight="1" s="163">
      <c r="A342" s="97" t="n"/>
      <c r="B342" s="97" t="n"/>
      <c r="C342" s="97" t="n"/>
      <c r="D342" s="97" t="n"/>
      <c r="E342" s="97" t="n"/>
      <c r="F342" s="97" t="n"/>
    </row>
    <row r="343" ht="15.75" customHeight="1" s="163">
      <c r="A343" s="97" t="n"/>
      <c r="B343" s="97" t="n"/>
      <c r="C343" s="97" t="n"/>
      <c r="D343" s="97" t="n"/>
      <c r="E343" s="97" t="n"/>
      <c r="F343" s="97" t="n"/>
    </row>
    <row r="344" ht="15.75" customHeight="1" s="163">
      <c r="A344" s="97" t="n"/>
      <c r="B344" s="97" t="n"/>
      <c r="C344" s="97" t="n"/>
      <c r="D344" s="97" t="n"/>
      <c r="E344" s="97" t="n"/>
      <c r="F344" s="97" t="n"/>
    </row>
    <row r="345" ht="15.75" customHeight="1" s="163">
      <c r="A345" s="97" t="n"/>
      <c r="B345" s="97" t="n"/>
      <c r="C345" s="97" t="n"/>
      <c r="D345" s="97" t="n"/>
      <c r="E345" s="97" t="n"/>
      <c r="F345" s="97" t="n"/>
    </row>
    <row r="346" ht="15.75" customHeight="1" s="163">
      <c r="A346" s="97" t="n"/>
      <c r="B346" s="97" t="n"/>
      <c r="C346" s="97" t="n"/>
      <c r="D346" s="97" t="n"/>
      <c r="E346" s="97" t="n"/>
      <c r="F346" s="97" t="n"/>
    </row>
    <row r="347" ht="15.75" customHeight="1" s="163">
      <c r="A347" s="97" t="n"/>
      <c r="B347" s="97" t="n"/>
      <c r="C347" s="97" t="n"/>
      <c r="D347" s="97" t="n"/>
      <c r="E347" s="97" t="n"/>
      <c r="F347" s="97" t="n"/>
    </row>
    <row r="348" ht="15.75" customHeight="1" s="163">
      <c r="A348" s="97" t="n"/>
      <c r="B348" s="97" t="n"/>
      <c r="C348" s="97" t="n"/>
      <c r="D348" s="97" t="n"/>
      <c r="E348" s="97" t="n"/>
      <c r="F348" s="97" t="n"/>
    </row>
    <row r="349" ht="15.75" customHeight="1" s="163">
      <c r="A349" s="97" t="n"/>
      <c r="B349" s="97" t="n"/>
      <c r="C349" s="97" t="n"/>
      <c r="D349" s="97" t="n"/>
      <c r="E349" s="97" t="n"/>
      <c r="F349" s="97" t="n"/>
    </row>
    <row r="350" ht="15.75" customHeight="1" s="163">
      <c r="A350" s="97" t="n"/>
      <c r="B350" s="97" t="n"/>
      <c r="C350" s="97" t="n"/>
      <c r="D350" s="97" t="n"/>
      <c r="E350" s="97" t="n"/>
      <c r="F350" s="97" t="n"/>
    </row>
    <row r="351" ht="15.75" customHeight="1" s="163">
      <c r="A351" s="97" t="n"/>
      <c r="B351" s="97" t="n"/>
      <c r="C351" s="97" t="n"/>
      <c r="D351" s="97" t="n"/>
      <c r="E351" s="97" t="n"/>
      <c r="F351" s="97" t="n"/>
    </row>
    <row r="352" ht="15.75" customHeight="1" s="163">
      <c r="A352" s="97" t="n"/>
      <c r="B352" s="97" t="n"/>
      <c r="C352" s="97" t="n"/>
      <c r="D352" s="97" t="n"/>
      <c r="E352" s="97" t="n"/>
      <c r="F352" s="97" t="n"/>
    </row>
    <row r="353" ht="15.75" customHeight="1" s="163">
      <c r="A353" s="97" t="n"/>
      <c r="B353" s="97" t="n"/>
      <c r="C353" s="97" t="n"/>
      <c r="D353" s="97" t="n"/>
      <c r="E353" s="97" t="n"/>
      <c r="F353" s="97" t="n"/>
    </row>
    <row r="354" ht="15.75" customHeight="1" s="163">
      <c r="A354" s="97" t="n"/>
      <c r="B354" s="97" t="n"/>
      <c r="C354" s="97" t="n"/>
      <c r="D354" s="97" t="n"/>
      <c r="E354" s="97" t="n"/>
      <c r="F354" s="97" t="n"/>
    </row>
    <row r="355" ht="15.75" customHeight="1" s="163">
      <c r="A355" s="97" t="n"/>
      <c r="B355" s="97" t="n"/>
      <c r="C355" s="97" t="n"/>
      <c r="D355" s="97" t="n"/>
      <c r="E355" s="97" t="n"/>
      <c r="F355" s="97" t="n"/>
    </row>
    <row r="356" ht="15.75" customHeight="1" s="163">
      <c r="A356" s="97" t="n"/>
      <c r="B356" s="97" t="n"/>
      <c r="C356" s="97" t="n"/>
      <c r="D356" s="97" t="n"/>
      <c r="E356" s="97" t="n"/>
      <c r="F356" s="97" t="n"/>
    </row>
    <row r="357" ht="15.75" customHeight="1" s="163">
      <c r="A357" s="97" t="n"/>
      <c r="B357" s="97" t="n"/>
      <c r="C357" s="97" t="n"/>
      <c r="D357" s="97" t="n"/>
      <c r="E357" s="97" t="n"/>
      <c r="F357" s="97" t="n"/>
    </row>
    <row r="358" ht="15.75" customHeight="1" s="163">
      <c r="A358" s="97" t="n"/>
      <c r="B358" s="97" t="n"/>
      <c r="C358" s="97" t="n"/>
      <c r="D358" s="97" t="n"/>
      <c r="E358" s="97" t="n"/>
      <c r="F358" s="97" t="n"/>
    </row>
    <row r="359" ht="15.75" customHeight="1" s="163">
      <c r="A359" s="97" t="n"/>
      <c r="B359" s="97" t="n"/>
      <c r="C359" s="97" t="n"/>
      <c r="D359" s="97" t="n"/>
      <c r="E359" s="97" t="n"/>
      <c r="F359" s="97" t="n"/>
    </row>
    <row r="360" ht="15.75" customHeight="1" s="163">
      <c r="A360" s="97" t="n"/>
      <c r="B360" s="97" t="n"/>
      <c r="C360" s="97" t="n"/>
      <c r="D360" s="97" t="n"/>
      <c r="E360" s="97" t="n"/>
      <c r="F360" s="97" t="n"/>
    </row>
    <row r="361" ht="15.75" customHeight="1" s="163">
      <c r="A361" s="97" t="n"/>
      <c r="B361" s="97" t="n"/>
      <c r="C361" s="97" t="n"/>
      <c r="D361" s="97" t="n"/>
      <c r="E361" s="97" t="n"/>
      <c r="F361" s="97" t="n"/>
    </row>
    <row r="362" ht="15.75" customHeight="1" s="163">
      <c r="A362" s="97" t="n"/>
      <c r="B362" s="97" t="n"/>
      <c r="C362" s="97" t="n"/>
      <c r="D362" s="97" t="n"/>
      <c r="E362" s="97" t="n"/>
      <c r="F362" s="97" t="n"/>
    </row>
    <row r="363" ht="15.75" customHeight="1" s="163">
      <c r="A363" s="97" t="n"/>
      <c r="B363" s="97" t="n"/>
      <c r="C363" s="97" t="n"/>
      <c r="D363" s="97" t="n"/>
      <c r="E363" s="97" t="n"/>
      <c r="F363" s="97" t="n"/>
    </row>
    <row r="364" ht="15.75" customHeight="1" s="163">
      <c r="A364" s="97" t="n"/>
      <c r="B364" s="97" t="n"/>
      <c r="C364" s="97" t="n"/>
      <c r="D364" s="97" t="n"/>
      <c r="E364" s="97" t="n"/>
      <c r="F364" s="97" t="n"/>
    </row>
    <row r="365" ht="15.75" customHeight="1" s="163">
      <c r="A365" s="97" t="n"/>
      <c r="B365" s="97" t="n"/>
      <c r="C365" s="97" t="n"/>
      <c r="D365" s="97" t="n"/>
      <c r="E365" s="97" t="n"/>
      <c r="F365" s="97" t="n"/>
    </row>
    <row r="366" ht="15.75" customHeight="1" s="163">
      <c r="A366" s="97" t="n"/>
      <c r="B366" s="97" t="n"/>
      <c r="C366" s="97" t="n"/>
      <c r="D366" s="97" t="n"/>
      <c r="E366" s="97" t="n"/>
      <c r="F366" s="97" t="n"/>
    </row>
    <row r="367" ht="15.75" customHeight="1" s="163">
      <c r="A367" s="97" t="n"/>
      <c r="B367" s="97" t="n"/>
      <c r="C367" s="97" t="n"/>
      <c r="D367" s="97" t="n"/>
      <c r="E367" s="97" t="n"/>
      <c r="F367" s="97" t="n"/>
    </row>
    <row r="368" ht="15.75" customHeight="1" s="163">
      <c r="A368" s="97" t="n"/>
      <c r="B368" s="97" t="n"/>
      <c r="C368" s="97" t="n"/>
      <c r="D368" s="97" t="n"/>
      <c r="E368" s="97" t="n"/>
      <c r="F368" s="97" t="n"/>
    </row>
    <row r="369" ht="15.75" customHeight="1" s="163">
      <c r="A369" s="97" t="n"/>
      <c r="B369" s="97" t="n"/>
      <c r="C369" s="97" t="n"/>
      <c r="D369" s="97" t="n"/>
      <c r="E369" s="97" t="n"/>
      <c r="F369" s="97" t="n"/>
    </row>
    <row r="370" ht="15.75" customHeight="1" s="163">
      <c r="A370" s="97" t="n"/>
      <c r="B370" s="97" t="n"/>
      <c r="C370" s="97" t="n"/>
      <c r="D370" s="97" t="n"/>
      <c r="E370" s="97" t="n"/>
      <c r="F370" s="97" t="n"/>
    </row>
    <row r="371" ht="15.75" customHeight="1" s="163">
      <c r="A371" s="97" t="n"/>
      <c r="B371" s="97" t="n"/>
      <c r="C371" s="97" t="n"/>
      <c r="D371" s="97" t="n"/>
      <c r="E371" s="97" t="n"/>
      <c r="F371" s="97" t="n"/>
    </row>
    <row r="372" ht="15.75" customHeight="1" s="163">
      <c r="A372" s="97" t="n"/>
      <c r="B372" s="97" t="n"/>
      <c r="C372" s="97" t="n"/>
      <c r="D372" s="97" t="n"/>
      <c r="E372" s="97" t="n"/>
      <c r="F372" s="97" t="n"/>
    </row>
    <row r="373" ht="15.75" customHeight="1" s="163">
      <c r="A373" s="97" t="n"/>
      <c r="B373" s="97" t="n"/>
      <c r="C373" s="97" t="n"/>
      <c r="D373" s="97" t="n"/>
      <c r="E373" s="97" t="n"/>
      <c r="F373" s="97" t="n"/>
    </row>
    <row r="374" ht="15.75" customHeight="1" s="163">
      <c r="A374" s="97" t="n"/>
      <c r="B374" s="97" t="n"/>
      <c r="C374" s="97" t="n"/>
      <c r="D374" s="97" t="n"/>
      <c r="E374" s="97" t="n"/>
      <c r="F374" s="97" t="n"/>
    </row>
    <row r="375" ht="15.75" customHeight="1" s="163">
      <c r="A375" s="97" t="n"/>
      <c r="B375" s="97" t="n"/>
      <c r="C375" s="97" t="n"/>
      <c r="D375" s="97" t="n"/>
      <c r="E375" s="97" t="n"/>
      <c r="F375" s="97" t="n"/>
    </row>
    <row r="376" ht="15.75" customHeight="1" s="163">
      <c r="A376" s="97" t="n"/>
      <c r="B376" s="97" t="n"/>
      <c r="C376" s="97" t="n"/>
      <c r="D376" s="97" t="n"/>
      <c r="E376" s="97" t="n"/>
      <c r="F376" s="97" t="n"/>
    </row>
    <row r="377" ht="15.75" customHeight="1" s="163">
      <c r="A377" s="97" t="n"/>
      <c r="B377" s="97" t="n"/>
      <c r="C377" s="97" t="n"/>
      <c r="D377" s="97" t="n"/>
      <c r="E377" s="97" t="n"/>
      <c r="F377" s="97" t="n"/>
    </row>
    <row r="378" ht="15.75" customHeight="1" s="163">
      <c r="A378" s="97" t="n"/>
      <c r="B378" s="97" t="n"/>
      <c r="C378" s="97" t="n"/>
      <c r="D378" s="97" t="n"/>
      <c r="E378" s="97" t="n"/>
      <c r="F378" s="97" t="n"/>
    </row>
    <row r="379" ht="15.75" customHeight="1" s="163">
      <c r="A379" s="97" t="n"/>
      <c r="B379" s="97" t="n"/>
      <c r="C379" s="97" t="n"/>
      <c r="D379" s="97" t="n"/>
      <c r="E379" s="97" t="n"/>
      <c r="F379" s="97" t="n"/>
    </row>
    <row r="380" ht="15.75" customHeight="1" s="163">
      <c r="A380" s="97" t="n"/>
      <c r="B380" s="97" t="n"/>
      <c r="C380" s="97" t="n"/>
      <c r="D380" s="97" t="n"/>
      <c r="E380" s="97" t="n"/>
      <c r="F380" s="97" t="n"/>
    </row>
    <row r="381" ht="15.75" customHeight="1" s="163">
      <c r="A381" s="97" t="n"/>
      <c r="B381" s="97" t="n"/>
      <c r="C381" s="97" t="n"/>
      <c r="D381" s="97" t="n"/>
      <c r="E381" s="97" t="n"/>
      <c r="F381" s="97" t="n"/>
    </row>
    <row r="382" ht="15.75" customHeight="1" s="163">
      <c r="A382" s="97" t="n"/>
      <c r="B382" s="97" t="n"/>
      <c r="C382" s="97" t="n"/>
      <c r="D382" s="97" t="n"/>
      <c r="E382" s="97" t="n"/>
      <c r="F382" s="97" t="n"/>
    </row>
    <row r="383" ht="15.75" customHeight="1" s="163">
      <c r="A383" s="97" t="n"/>
      <c r="B383" s="97" t="n"/>
      <c r="C383" s="97" t="n"/>
      <c r="D383" s="97" t="n"/>
      <c r="E383" s="97" t="n"/>
      <c r="F383" s="97" t="n"/>
    </row>
    <row r="384" ht="15.75" customHeight="1" s="163">
      <c r="A384" s="97" t="n"/>
      <c r="B384" s="97" t="n"/>
      <c r="C384" s="97" t="n"/>
      <c r="D384" s="97" t="n"/>
      <c r="E384" s="97" t="n"/>
      <c r="F384" s="97" t="n"/>
    </row>
    <row r="385" ht="15.75" customHeight="1" s="163">
      <c r="A385" s="97" t="n"/>
      <c r="B385" s="97" t="n"/>
      <c r="C385" s="97" t="n"/>
      <c r="D385" s="97" t="n"/>
      <c r="E385" s="97" t="n"/>
      <c r="F385" s="97" t="n"/>
    </row>
    <row r="386" ht="15.75" customHeight="1" s="163">
      <c r="A386" s="97" t="n"/>
      <c r="B386" s="97" t="n"/>
      <c r="C386" s="97" t="n"/>
      <c r="D386" s="97" t="n"/>
      <c r="E386" s="97" t="n"/>
      <c r="F386" s="97" t="n"/>
    </row>
    <row r="387" ht="15.75" customHeight="1" s="163">
      <c r="A387" s="97" t="n"/>
      <c r="B387" s="97" t="n"/>
      <c r="C387" s="97" t="n"/>
      <c r="D387" s="97" t="n"/>
      <c r="E387" s="97" t="n"/>
      <c r="F387" s="97" t="n"/>
    </row>
    <row r="388" ht="15.75" customHeight="1" s="163">
      <c r="A388" s="97" t="n"/>
      <c r="B388" s="97" t="n"/>
      <c r="C388" s="97" t="n"/>
      <c r="D388" s="97" t="n"/>
      <c r="E388" s="97" t="n"/>
      <c r="F388" s="97" t="n"/>
    </row>
    <row r="389" ht="15.75" customHeight="1" s="163">
      <c r="A389" s="97" t="n"/>
      <c r="B389" s="97" t="n"/>
      <c r="C389" s="97" t="n"/>
      <c r="D389" s="97" t="n"/>
      <c r="E389" s="97" t="n"/>
      <c r="F389" s="97" t="n"/>
    </row>
    <row r="390" ht="15.75" customHeight="1" s="163">
      <c r="A390" s="97" t="n"/>
      <c r="B390" s="97" t="n"/>
      <c r="C390" s="97" t="n"/>
      <c r="D390" s="97" t="n"/>
      <c r="E390" s="97" t="n"/>
      <c r="F390" s="97" t="n"/>
    </row>
    <row r="391" ht="15.75" customHeight="1" s="163">
      <c r="A391" s="97" t="n"/>
      <c r="B391" s="97" t="n"/>
      <c r="C391" s="97" t="n"/>
      <c r="D391" s="97" t="n"/>
      <c r="E391" s="97" t="n"/>
      <c r="F391" s="97" t="n"/>
    </row>
    <row r="392" ht="15.75" customHeight="1" s="163">
      <c r="A392" s="97" t="n"/>
      <c r="B392" s="97" t="n"/>
      <c r="C392" s="97" t="n"/>
      <c r="D392" s="97" t="n"/>
      <c r="E392" s="97" t="n"/>
      <c r="F392" s="97" t="n"/>
    </row>
    <row r="393" ht="15.75" customHeight="1" s="163">
      <c r="A393" s="97" t="n"/>
      <c r="B393" s="97" t="n"/>
      <c r="C393" s="97" t="n"/>
      <c r="D393" s="97" t="n"/>
      <c r="E393" s="97" t="n"/>
      <c r="F393" s="97" t="n"/>
    </row>
    <row r="394" ht="15.75" customHeight="1" s="163">
      <c r="A394" s="97" t="n"/>
      <c r="B394" s="97" t="n"/>
      <c r="C394" s="97" t="n"/>
      <c r="D394" s="97" t="n"/>
      <c r="E394" s="97" t="n"/>
      <c r="F394" s="97" t="n"/>
    </row>
    <row r="395" ht="15.75" customHeight="1" s="163">
      <c r="A395" s="97" t="n"/>
      <c r="B395" s="97" t="n"/>
      <c r="C395" s="97" t="n"/>
      <c r="D395" s="97" t="n"/>
      <c r="E395" s="97" t="n"/>
      <c r="F395" s="97" t="n"/>
    </row>
    <row r="396" ht="15.75" customHeight="1" s="163">
      <c r="A396" s="97" t="n"/>
      <c r="B396" s="97" t="n"/>
      <c r="C396" s="97" t="n"/>
      <c r="D396" s="97" t="n"/>
      <c r="E396" s="97" t="n"/>
      <c r="F396" s="97" t="n"/>
    </row>
    <row r="397" ht="15.75" customHeight="1" s="163">
      <c r="A397" s="97" t="n"/>
      <c r="B397" s="97" t="n"/>
      <c r="C397" s="97" t="n"/>
      <c r="D397" s="97" t="n"/>
      <c r="E397" s="97" t="n"/>
      <c r="F397" s="97" t="n"/>
    </row>
    <row r="398" ht="15.75" customHeight="1" s="163">
      <c r="A398" s="97" t="n"/>
      <c r="B398" s="97" t="n"/>
      <c r="C398" s="97" t="n"/>
      <c r="D398" s="97" t="n"/>
      <c r="E398" s="97" t="n"/>
      <c r="F398" s="97" t="n"/>
    </row>
    <row r="399" ht="15.75" customHeight="1" s="163">
      <c r="A399" s="97" t="n"/>
      <c r="B399" s="97" t="n"/>
      <c r="C399" s="97" t="n"/>
      <c r="D399" s="97" t="n"/>
      <c r="E399" s="97" t="n"/>
      <c r="F399" s="97" t="n"/>
    </row>
    <row r="400" ht="15.75" customHeight="1" s="163">
      <c r="A400" s="97" t="n"/>
      <c r="B400" s="97" t="n"/>
      <c r="C400" s="97" t="n"/>
      <c r="D400" s="97" t="n"/>
      <c r="E400" s="97" t="n"/>
      <c r="F400" s="97" t="n"/>
    </row>
    <row r="401" ht="15.75" customHeight="1" s="163">
      <c r="A401" s="97" t="n"/>
      <c r="B401" s="97" t="n"/>
      <c r="C401" s="97" t="n"/>
      <c r="D401" s="97" t="n"/>
      <c r="E401" s="97" t="n"/>
      <c r="F401" s="97" t="n"/>
    </row>
    <row r="402" ht="15.75" customHeight="1" s="163">
      <c r="A402" s="97" t="n"/>
      <c r="B402" s="97" t="n"/>
      <c r="C402" s="97" t="n"/>
      <c r="D402" s="97" t="n"/>
      <c r="E402" s="97" t="n"/>
      <c r="F402" s="97" t="n"/>
    </row>
    <row r="403" ht="15.75" customHeight="1" s="163">
      <c r="A403" s="97" t="n"/>
      <c r="B403" s="97" t="n"/>
      <c r="C403" s="97" t="n"/>
      <c r="D403" s="97" t="n"/>
      <c r="E403" s="97" t="n"/>
      <c r="F403" s="97" t="n"/>
    </row>
    <row r="404" ht="15.75" customHeight="1" s="163">
      <c r="A404" s="97" t="n"/>
      <c r="B404" s="97" t="n"/>
      <c r="C404" s="97" t="n"/>
      <c r="D404" s="97" t="n"/>
      <c r="E404" s="97" t="n"/>
      <c r="F404" s="97" t="n"/>
    </row>
    <row r="405" ht="15.75" customHeight="1" s="163">
      <c r="A405" s="97" t="n"/>
      <c r="B405" s="97" t="n"/>
      <c r="C405" s="97" t="n"/>
      <c r="D405" s="97" t="n"/>
      <c r="E405" s="97" t="n"/>
      <c r="F405" s="97" t="n"/>
    </row>
    <row r="406" ht="15.75" customHeight="1" s="163">
      <c r="A406" s="97" t="n"/>
      <c r="B406" s="97" t="n"/>
      <c r="C406" s="97" t="n"/>
      <c r="D406" s="97" t="n"/>
      <c r="E406" s="97" t="n"/>
      <c r="F406" s="97" t="n"/>
    </row>
    <row r="407" ht="15.75" customHeight="1" s="163">
      <c r="A407" s="97" t="n"/>
      <c r="B407" s="97" t="n"/>
      <c r="C407" s="97" t="n"/>
      <c r="D407" s="97" t="n"/>
      <c r="E407" s="97" t="n"/>
      <c r="F407" s="97" t="n"/>
    </row>
    <row r="408" ht="15.75" customHeight="1" s="163">
      <c r="A408" s="97" t="n"/>
      <c r="B408" s="97" t="n"/>
      <c r="C408" s="97" t="n"/>
      <c r="D408" s="97" t="n"/>
      <c r="E408" s="97" t="n"/>
      <c r="F408" s="97" t="n"/>
    </row>
    <row r="409" ht="15.75" customHeight="1" s="163">
      <c r="A409" s="97" t="n"/>
      <c r="B409" s="97" t="n"/>
      <c r="C409" s="97" t="n"/>
      <c r="D409" s="97" t="n"/>
      <c r="E409" s="97" t="n"/>
      <c r="F409" s="97" t="n"/>
    </row>
    <row r="410" ht="15.75" customHeight="1" s="163">
      <c r="A410" s="97" t="n"/>
      <c r="B410" s="97" t="n"/>
      <c r="C410" s="97" t="n"/>
      <c r="D410" s="97" t="n"/>
      <c r="E410" s="97" t="n"/>
      <c r="F410" s="97" t="n"/>
    </row>
    <row r="411" ht="15.75" customHeight="1" s="163">
      <c r="A411" s="97" t="n"/>
      <c r="B411" s="97" t="n"/>
      <c r="C411" s="97" t="n"/>
      <c r="D411" s="97" t="n"/>
      <c r="E411" s="97" t="n"/>
      <c r="F411" s="97" t="n"/>
    </row>
    <row r="412" ht="15.75" customHeight="1" s="163">
      <c r="A412" s="97" t="n"/>
      <c r="B412" s="97" t="n"/>
      <c r="C412" s="97" t="n"/>
      <c r="D412" s="97" t="n"/>
      <c r="E412" s="97" t="n"/>
      <c r="F412" s="97" t="n"/>
    </row>
    <row r="413" ht="15.75" customHeight="1" s="163">
      <c r="A413" s="97" t="n"/>
      <c r="B413" s="97" t="n"/>
      <c r="C413" s="97" t="n"/>
      <c r="D413" s="97" t="n"/>
      <c r="E413" s="97" t="n"/>
      <c r="F413" s="97" t="n"/>
    </row>
    <row r="414" ht="15.75" customHeight="1" s="163">
      <c r="A414" s="97" t="n"/>
      <c r="B414" s="97" t="n"/>
      <c r="C414" s="97" t="n"/>
      <c r="D414" s="97" t="n"/>
      <c r="E414" s="97" t="n"/>
      <c r="F414" s="97" t="n"/>
    </row>
    <row r="415" ht="15.75" customHeight="1" s="163">
      <c r="A415" s="97" t="n"/>
      <c r="B415" s="97" t="n"/>
      <c r="C415" s="97" t="n"/>
      <c r="D415" s="97" t="n"/>
      <c r="E415" s="97" t="n"/>
      <c r="F415" s="97" t="n"/>
    </row>
    <row r="416" ht="15.75" customHeight="1" s="163">
      <c r="A416" s="97" t="n"/>
      <c r="B416" s="97" t="n"/>
      <c r="C416" s="97" t="n"/>
      <c r="D416" s="97" t="n"/>
      <c r="E416" s="97" t="n"/>
      <c r="F416" s="97" t="n"/>
    </row>
    <row r="417" ht="15.75" customHeight="1" s="163">
      <c r="A417" s="97" t="n"/>
      <c r="B417" s="97" t="n"/>
      <c r="C417" s="97" t="n"/>
      <c r="D417" s="97" t="n"/>
      <c r="E417" s="97" t="n"/>
      <c r="F417" s="97" t="n"/>
    </row>
    <row r="418" ht="15.75" customHeight="1" s="163">
      <c r="A418" s="97" t="n"/>
      <c r="B418" s="97" t="n"/>
      <c r="C418" s="97" t="n"/>
      <c r="D418" s="97" t="n"/>
      <c r="E418" s="97" t="n"/>
      <c r="F418" s="97" t="n"/>
    </row>
    <row r="419" ht="15.75" customHeight="1" s="163">
      <c r="A419" s="97" t="n"/>
      <c r="B419" s="97" t="n"/>
      <c r="C419" s="97" t="n"/>
      <c r="D419" s="97" t="n"/>
      <c r="E419" s="97" t="n"/>
      <c r="F419" s="97" t="n"/>
    </row>
    <row r="420" ht="15.75" customHeight="1" s="163">
      <c r="A420" s="97" t="n"/>
      <c r="B420" s="97" t="n"/>
      <c r="C420" s="97" t="n"/>
      <c r="D420" s="97" t="n"/>
      <c r="E420" s="97" t="n"/>
      <c r="F420" s="97" t="n"/>
    </row>
    <row r="421" ht="15.75" customHeight="1" s="163">
      <c r="A421" s="97" t="n"/>
      <c r="B421" s="97" t="n"/>
      <c r="C421" s="97" t="n"/>
      <c r="D421" s="97" t="n"/>
      <c r="E421" s="97" t="n"/>
      <c r="F421" s="97" t="n"/>
    </row>
    <row r="422" ht="15.75" customHeight="1" s="163">
      <c r="A422" s="97" t="n"/>
      <c r="B422" s="97" t="n"/>
      <c r="C422" s="97" t="n"/>
      <c r="D422" s="97" t="n"/>
      <c r="E422" s="97" t="n"/>
      <c r="F422" s="97" t="n"/>
    </row>
    <row r="423" ht="15.75" customHeight="1" s="163">
      <c r="A423" s="97" t="n"/>
      <c r="B423" s="97" t="n"/>
      <c r="C423" s="97" t="n"/>
      <c r="D423" s="97" t="n"/>
      <c r="E423" s="97" t="n"/>
      <c r="F423" s="97" t="n"/>
    </row>
    <row r="424" ht="15.75" customHeight="1" s="163">
      <c r="A424" s="97" t="n"/>
      <c r="B424" s="97" t="n"/>
      <c r="C424" s="97" t="n"/>
      <c r="D424" s="97" t="n"/>
      <c r="E424" s="97" t="n"/>
      <c r="F424" s="97" t="n"/>
    </row>
    <row r="425" ht="15.75" customHeight="1" s="163">
      <c r="A425" s="97" t="n"/>
      <c r="B425" s="97" t="n"/>
      <c r="C425" s="97" t="n"/>
      <c r="D425" s="97" t="n"/>
      <c r="E425" s="97" t="n"/>
      <c r="F425" s="97" t="n"/>
    </row>
    <row r="426" ht="15.75" customHeight="1" s="163">
      <c r="A426" s="97" t="n"/>
      <c r="B426" s="97" t="n"/>
      <c r="C426" s="97" t="n"/>
      <c r="D426" s="97" t="n"/>
      <c r="E426" s="97" t="n"/>
      <c r="F426" s="97" t="n"/>
    </row>
    <row r="427" ht="15.75" customHeight="1" s="163">
      <c r="A427" s="97" t="n"/>
      <c r="B427" s="97" t="n"/>
      <c r="C427" s="97" t="n"/>
      <c r="D427" s="97" t="n"/>
      <c r="E427" s="97" t="n"/>
      <c r="F427" s="97" t="n"/>
    </row>
    <row r="428" ht="15.75" customHeight="1" s="163">
      <c r="A428" s="97" t="n"/>
      <c r="B428" s="97" t="n"/>
      <c r="C428" s="97" t="n"/>
      <c r="D428" s="97" t="n"/>
      <c r="E428" s="97" t="n"/>
      <c r="F428" s="97" t="n"/>
    </row>
    <row r="429" ht="15.75" customHeight="1" s="163">
      <c r="A429" s="97" t="n"/>
      <c r="B429" s="97" t="n"/>
      <c r="C429" s="97" t="n"/>
      <c r="D429" s="97" t="n"/>
      <c r="E429" s="97" t="n"/>
      <c r="F429" s="97" t="n"/>
    </row>
    <row r="430" ht="15.75" customHeight="1" s="163">
      <c r="A430" s="97" t="n"/>
      <c r="B430" s="97" t="n"/>
      <c r="C430" s="97" t="n"/>
      <c r="D430" s="97" t="n"/>
      <c r="E430" s="97" t="n"/>
      <c r="F430" s="97" t="n"/>
    </row>
    <row r="431" ht="15.75" customHeight="1" s="163">
      <c r="A431" s="97" t="n"/>
      <c r="B431" s="97" t="n"/>
      <c r="C431" s="97" t="n"/>
      <c r="D431" s="97" t="n"/>
      <c r="E431" s="97" t="n"/>
      <c r="F431" s="97" t="n"/>
    </row>
    <row r="432" ht="15.75" customHeight="1" s="163">
      <c r="A432" s="97" t="n"/>
      <c r="B432" s="97" t="n"/>
      <c r="C432" s="97" t="n"/>
      <c r="D432" s="97" t="n"/>
      <c r="E432" s="97" t="n"/>
      <c r="F432" s="97" t="n"/>
    </row>
    <row r="433" ht="15.75" customHeight="1" s="163">
      <c r="A433" s="97" t="n"/>
      <c r="B433" s="97" t="n"/>
      <c r="C433" s="97" t="n"/>
      <c r="D433" s="97" t="n"/>
      <c r="E433" s="97" t="n"/>
      <c r="F433" s="97" t="n"/>
    </row>
    <row r="434" ht="15.75" customHeight="1" s="163">
      <c r="A434" s="97" t="n"/>
      <c r="B434" s="97" t="n"/>
      <c r="C434" s="97" t="n"/>
      <c r="D434" s="97" t="n"/>
      <c r="E434" s="97" t="n"/>
      <c r="F434" s="97" t="n"/>
    </row>
    <row r="435" ht="15.75" customHeight="1" s="163">
      <c r="A435" s="97" t="n"/>
      <c r="B435" s="97" t="n"/>
      <c r="C435" s="97" t="n"/>
      <c r="D435" s="97" t="n"/>
      <c r="E435" s="97" t="n"/>
      <c r="F435" s="97" t="n"/>
    </row>
    <row r="436" ht="15.75" customHeight="1" s="163">
      <c r="A436" s="97" t="n"/>
      <c r="B436" s="97" t="n"/>
      <c r="C436" s="97" t="n"/>
      <c r="D436" s="97" t="n"/>
      <c r="E436" s="97" t="n"/>
      <c r="F436" s="97" t="n"/>
    </row>
    <row r="437" ht="15.75" customHeight="1" s="163">
      <c r="A437" s="97" t="n"/>
      <c r="B437" s="97" t="n"/>
      <c r="C437" s="97" t="n"/>
      <c r="D437" s="97" t="n"/>
      <c r="E437" s="97" t="n"/>
      <c r="F437" s="97" t="n"/>
    </row>
    <row r="438" ht="15.75" customHeight="1" s="163">
      <c r="A438" s="97" t="n"/>
      <c r="B438" s="97" t="n"/>
      <c r="C438" s="97" t="n"/>
      <c r="D438" s="97" t="n"/>
      <c r="E438" s="97" t="n"/>
      <c r="F438" s="97" t="n"/>
    </row>
    <row r="439" ht="15.75" customHeight="1" s="163">
      <c r="A439" s="97" t="n"/>
      <c r="B439" s="97" t="n"/>
      <c r="C439" s="97" t="n"/>
      <c r="D439" s="97" t="n"/>
      <c r="E439" s="97" t="n"/>
      <c r="F439" s="97" t="n"/>
    </row>
    <row r="440" ht="15.75" customHeight="1" s="163">
      <c r="A440" s="97" t="n"/>
      <c r="B440" s="97" t="n"/>
      <c r="C440" s="97" t="n"/>
      <c r="D440" s="97" t="n"/>
      <c r="E440" s="97" t="n"/>
      <c r="F440" s="97" t="n"/>
    </row>
    <row r="441" ht="15.75" customHeight="1" s="163">
      <c r="A441" s="97" t="n"/>
      <c r="B441" s="97" t="n"/>
      <c r="C441" s="97" t="n"/>
      <c r="D441" s="97" t="n"/>
      <c r="E441" s="97" t="n"/>
      <c r="F441" s="97" t="n"/>
    </row>
    <row r="442" ht="15.75" customHeight="1" s="163">
      <c r="A442" s="97" t="n"/>
      <c r="B442" s="97" t="n"/>
      <c r="C442" s="97" t="n"/>
      <c r="D442" s="97" t="n"/>
      <c r="E442" s="97" t="n"/>
      <c r="F442" s="97" t="n"/>
    </row>
    <row r="443" ht="15.75" customHeight="1" s="163">
      <c r="A443" s="97" t="n"/>
      <c r="B443" s="97" t="n"/>
      <c r="C443" s="97" t="n"/>
      <c r="D443" s="97" t="n"/>
      <c r="E443" s="97" t="n"/>
      <c r="F443" s="97" t="n"/>
    </row>
    <row r="444" ht="15.75" customHeight="1" s="163">
      <c r="A444" s="97" t="n"/>
      <c r="B444" s="97" t="n"/>
      <c r="C444" s="97" t="n"/>
      <c r="D444" s="97" t="n"/>
      <c r="E444" s="97" t="n"/>
      <c r="F444" s="97" t="n"/>
    </row>
    <row r="445" ht="15.75" customHeight="1" s="163">
      <c r="A445" s="97" t="n"/>
      <c r="B445" s="97" t="n"/>
      <c r="C445" s="97" t="n"/>
      <c r="D445" s="97" t="n"/>
      <c r="E445" s="97" t="n"/>
      <c r="F445" s="97" t="n"/>
    </row>
    <row r="446" ht="15.75" customHeight="1" s="163">
      <c r="A446" s="97" t="n"/>
      <c r="B446" s="97" t="n"/>
      <c r="C446" s="97" t="n"/>
      <c r="D446" s="97" t="n"/>
      <c r="E446" s="97" t="n"/>
      <c r="F446" s="97" t="n"/>
    </row>
    <row r="447" ht="15.75" customHeight="1" s="163">
      <c r="A447" s="97" t="n"/>
      <c r="B447" s="97" t="n"/>
      <c r="C447" s="97" t="n"/>
      <c r="D447" s="97" t="n"/>
      <c r="E447" s="97" t="n"/>
      <c r="F447" s="97" t="n"/>
    </row>
    <row r="448" ht="15.75" customHeight="1" s="163">
      <c r="A448" s="97" t="n"/>
      <c r="B448" s="97" t="n"/>
      <c r="C448" s="97" t="n"/>
      <c r="D448" s="97" t="n"/>
      <c r="E448" s="97" t="n"/>
      <c r="F448" s="97" t="n"/>
    </row>
    <row r="449" ht="15.75" customHeight="1" s="163">
      <c r="A449" s="97" t="n"/>
      <c r="B449" s="97" t="n"/>
      <c r="C449" s="97" t="n"/>
      <c r="D449" s="97" t="n"/>
      <c r="E449" s="97" t="n"/>
      <c r="F449" s="97" t="n"/>
    </row>
    <row r="450" ht="15.75" customHeight="1" s="163">
      <c r="A450" s="97" t="n"/>
      <c r="B450" s="97" t="n"/>
      <c r="C450" s="97" t="n"/>
      <c r="D450" s="97" t="n"/>
      <c r="E450" s="97" t="n"/>
      <c r="F450" s="97" t="n"/>
    </row>
    <row r="451" ht="15.75" customHeight="1" s="163">
      <c r="A451" s="97" t="n"/>
      <c r="B451" s="97" t="n"/>
      <c r="C451" s="97" t="n"/>
      <c r="D451" s="97" t="n"/>
      <c r="E451" s="97" t="n"/>
      <c r="F451" s="97" t="n"/>
    </row>
    <row r="452" ht="15.75" customHeight="1" s="163">
      <c r="A452" s="97" t="n"/>
      <c r="B452" s="97" t="n"/>
      <c r="C452" s="97" t="n"/>
      <c r="D452" s="97" t="n"/>
      <c r="E452" s="97" t="n"/>
      <c r="F452" s="97" t="n"/>
    </row>
    <row r="453" ht="15.75" customHeight="1" s="163">
      <c r="A453" s="97" t="n"/>
      <c r="B453" s="97" t="n"/>
      <c r="C453" s="97" t="n"/>
      <c r="D453" s="97" t="n"/>
      <c r="E453" s="97" t="n"/>
      <c r="F453" s="97" t="n"/>
    </row>
    <row r="454" ht="15.75" customHeight="1" s="163">
      <c r="A454" s="97" t="n"/>
      <c r="B454" s="97" t="n"/>
      <c r="C454" s="97" t="n"/>
      <c r="D454" s="97" t="n"/>
      <c r="E454" s="97" t="n"/>
      <c r="F454" s="97" t="n"/>
    </row>
    <row r="455" ht="15.75" customHeight="1" s="163">
      <c r="A455" s="97" t="n"/>
      <c r="B455" s="97" t="n"/>
      <c r="C455" s="97" t="n"/>
      <c r="D455" s="97" t="n"/>
      <c r="E455" s="97" t="n"/>
      <c r="F455" s="97" t="n"/>
    </row>
    <row r="456" ht="15.75" customHeight="1" s="163">
      <c r="A456" s="97" t="n"/>
      <c r="B456" s="97" t="n"/>
      <c r="C456" s="97" t="n"/>
      <c r="D456" s="97" t="n"/>
      <c r="E456" s="97" t="n"/>
      <c r="F456" s="97" t="n"/>
    </row>
    <row r="457" ht="15.75" customHeight="1" s="163">
      <c r="A457" s="97" t="n"/>
      <c r="B457" s="97" t="n"/>
      <c r="C457" s="97" t="n"/>
      <c r="D457" s="97" t="n"/>
      <c r="E457" s="97" t="n"/>
      <c r="F457" s="97" t="n"/>
    </row>
    <row r="458" ht="15.75" customHeight="1" s="163">
      <c r="A458" s="97" t="n"/>
      <c r="B458" s="97" t="n"/>
      <c r="C458" s="97" t="n"/>
      <c r="D458" s="97" t="n"/>
      <c r="E458" s="97" t="n"/>
      <c r="F458" s="97" t="n"/>
    </row>
    <row r="459" ht="15.75" customHeight="1" s="163">
      <c r="A459" s="97" t="n"/>
      <c r="B459" s="97" t="n"/>
      <c r="C459" s="97" t="n"/>
      <c r="D459" s="97" t="n"/>
      <c r="E459" s="97" t="n"/>
      <c r="F459" s="97" t="n"/>
    </row>
    <row r="460" ht="15.75" customHeight="1" s="163">
      <c r="A460" s="97" t="n"/>
      <c r="B460" s="97" t="n"/>
      <c r="C460" s="97" t="n"/>
      <c r="D460" s="97" t="n"/>
      <c r="E460" s="97" t="n"/>
      <c r="F460" s="97" t="n"/>
    </row>
    <row r="461" ht="15.75" customHeight="1" s="163">
      <c r="A461" s="97" t="n"/>
      <c r="B461" s="97" t="n"/>
      <c r="C461" s="97" t="n"/>
      <c r="D461" s="97" t="n"/>
      <c r="E461" s="97" t="n"/>
      <c r="F461" s="97" t="n"/>
    </row>
    <row r="462" ht="15.75" customHeight="1" s="163">
      <c r="A462" s="97" t="n"/>
      <c r="B462" s="97" t="n"/>
      <c r="C462" s="97" t="n"/>
      <c r="D462" s="97" t="n"/>
      <c r="E462" s="97" t="n"/>
      <c r="F462" s="97" t="n"/>
    </row>
    <row r="463" ht="15.75" customHeight="1" s="163">
      <c r="A463" s="97" t="n"/>
      <c r="B463" s="97" t="n"/>
      <c r="C463" s="97" t="n"/>
      <c r="D463" s="97" t="n"/>
      <c r="E463" s="97" t="n"/>
      <c r="F463" s="97" t="n"/>
    </row>
    <row r="464" ht="15.75" customHeight="1" s="163">
      <c r="A464" s="97" t="n"/>
      <c r="B464" s="97" t="n"/>
      <c r="C464" s="97" t="n"/>
      <c r="D464" s="97" t="n"/>
      <c r="E464" s="97" t="n"/>
      <c r="F464" s="97" t="n"/>
    </row>
    <row r="465" ht="15.75" customHeight="1" s="163">
      <c r="A465" s="97" t="n"/>
      <c r="B465" s="97" t="n"/>
      <c r="C465" s="97" t="n"/>
      <c r="D465" s="97" t="n"/>
      <c r="E465" s="97" t="n"/>
      <c r="F465" s="97" t="n"/>
    </row>
    <row r="466" ht="15.75" customHeight="1" s="163">
      <c r="A466" s="97" t="n"/>
      <c r="B466" s="97" t="n"/>
      <c r="C466" s="97" t="n"/>
      <c r="D466" s="97" t="n"/>
      <c r="E466" s="97" t="n"/>
      <c r="F466" s="97" t="n"/>
    </row>
    <row r="467" ht="15.75" customHeight="1" s="163">
      <c r="A467" s="97" t="n"/>
      <c r="B467" s="97" t="n"/>
      <c r="C467" s="97" t="n"/>
      <c r="D467" s="97" t="n"/>
      <c r="E467" s="97" t="n"/>
      <c r="F467" s="97" t="n"/>
    </row>
    <row r="468" ht="15.75" customHeight="1" s="163">
      <c r="A468" s="97" t="n"/>
      <c r="B468" s="97" t="n"/>
      <c r="C468" s="97" t="n"/>
      <c r="D468" s="97" t="n"/>
      <c r="E468" s="97" t="n"/>
      <c r="F468" s="97" t="n"/>
    </row>
    <row r="469" ht="15.75" customHeight="1" s="163">
      <c r="A469" s="97" t="n"/>
      <c r="B469" s="97" t="n"/>
      <c r="C469" s="97" t="n"/>
      <c r="D469" s="97" t="n"/>
      <c r="E469" s="97" t="n"/>
      <c r="F469" s="97" t="n"/>
    </row>
    <row r="470" ht="15.75" customHeight="1" s="163">
      <c r="A470" s="97" t="n"/>
      <c r="B470" s="97" t="n"/>
      <c r="C470" s="97" t="n"/>
      <c r="D470" s="97" t="n"/>
      <c r="E470" s="97" t="n"/>
      <c r="F470" s="97" t="n"/>
    </row>
    <row r="471" ht="15.75" customHeight="1" s="163">
      <c r="A471" s="97" t="n"/>
      <c r="B471" s="97" t="n"/>
      <c r="C471" s="97" t="n"/>
      <c r="D471" s="97" t="n"/>
      <c r="E471" s="97" t="n"/>
      <c r="F471" s="97" t="n"/>
    </row>
    <row r="472" ht="15.75" customHeight="1" s="163">
      <c r="A472" s="97" t="n"/>
      <c r="B472" s="97" t="n"/>
      <c r="C472" s="97" t="n"/>
      <c r="D472" s="97" t="n"/>
      <c r="E472" s="97" t="n"/>
      <c r="F472" s="97" t="n"/>
    </row>
    <row r="473" ht="15.75" customHeight="1" s="163">
      <c r="A473" s="97" t="n"/>
      <c r="B473" s="97" t="n"/>
      <c r="C473" s="97" t="n"/>
      <c r="D473" s="97" t="n"/>
      <c r="E473" s="97" t="n"/>
      <c r="F473" s="97" t="n"/>
    </row>
    <row r="474" ht="15.75" customHeight="1" s="163">
      <c r="A474" s="97" t="n"/>
      <c r="B474" s="97" t="n"/>
      <c r="C474" s="97" t="n"/>
      <c r="D474" s="97" t="n"/>
      <c r="E474" s="97" t="n"/>
      <c r="F474" s="97" t="n"/>
    </row>
    <row r="475" ht="15.75" customHeight="1" s="163">
      <c r="A475" s="97" t="n"/>
      <c r="B475" s="97" t="n"/>
      <c r="C475" s="97" t="n"/>
      <c r="D475" s="97" t="n"/>
      <c r="E475" s="97" t="n"/>
      <c r="F475" s="97" t="n"/>
    </row>
    <row r="476" ht="15.75" customHeight="1" s="163">
      <c r="A476" s="97" t="n"/>
      <c r="B476" s="97" t="n"/>
      <c r="C476" s="97" t="n"/>
      <c r="D476" s="97" t="n"/>
      <c r="E476" s="97" t="n"/>
      <c r="F476" s="97" t="n"/>
    </row>
    <row r="477" ht="15.75" customHeight="1" s="163">
      <c r="A477" s="97" t="n"/>
      <c r="B477" s="97" t="n"/>
      <c r="C477" s="97" t="n"/>
      <c r="D477" s="97" t="n"/>
      <c r="E477" s="97" t="n"/>
      <c r="F477" s="97" t="n"/>
    </row>
    <row r="478" ht="15.75" customHeight="1" s="163">
      <c r="A478" s="97" t="n"/>
      <c r="B478" s="97" t="n"/>
      <c r="C478" s="97" t="n"/>
      <c r="D478" s="97" t="n"/>
      <c r="E478" s="97" t="n"/>
      <c r="F478" s="97" t="n"/>
    </row>
    <row r="479" ht="15.75" customHeight="1" s="163">
      <c r="A479" s="97" t="n"/>
      <c r="B479" s="97" t="n"/>
      <c r="C479" s="97" t="n"/>
      <c r="D479" s="97" t="n"/>
      <c r="E479" s="97" t="n"/>
      <c r="F479" s="97" t="n"/>
    </row>
    <row r="480" ht="15.75" customHeight="1" s="163">
      <c r="A480" s="97" t="n"/>
      <c r="B480" s="97" t="n"/>
      <c r="C480" s="97" t="n"/>
      <c r="D480" s="97" t="n"/>
      <c r="E480" s="97" t="n"/>
      <c r="F480" s="97" t="n"/>
    </row>
    <row r="481" ht="15.75" customHeight="1" s="163">
      <c r="A481" s="97" t="n"/>
      <c r="B481" s="97" t="n"/>
      <c r="C481" s="97" t="n"/>
      <c r="D481" s="97" t="n"/>
      <c r="E481" s="97" t="n"/>
      <c r="F481" s="97" t="n"/>
    </row>
    <row r="482" ht="15.75" customHeight="1" s="163">
      <c r="A482" s="97" t="n"/>
      <c r="B482" s="97" t="n"/>
      <c r="C482" s="97" t="n"/>
      <c r="D482" s="97" t="n"/>
      <c r="E482" s="97" t="n"/>
      <c r="F482" s="97" t="n"/>
    </row>
    <row r="483" ht="15.75" customHeight="1" s="163">
      <c r="A483" s="97" t="n"/>
      <c r="B483" s="97" t="n"/>
      <c r="C483" s="97" t="n"/>
      <c r="D483" s="97" t="n"/>
      <c r="E483" s="97" t="n"/>
      <c r="F483" s="97" t="n"/>
    </row>
    <row r="484" ht="15.75" customHeight="1" s="163">
      <c r="A484" s="97" t="n"/>
      <c r="B484" s="97" t="n"/>
      <c r="C484" s="97" t="n"/>
      <c r="D484" s="97" t="n"/>
      <c r="E484" s="97" t="n"/>
      <c r="F484" s="97" t="n"/>
    </row>
    <row r="485" ht="15.75" customHeight="1" s="163">
      <c r="A485" s="97" t="n"/>
      <c r="B485" s="97" t="n"/>
      <c r="C485" s="97" t="n"/>
      <c r="D485" s="97" t="n"/>
      <c r="E485" s="97" t="n"/>
      <c r="F485" s="97" t="n"/>
    </row>
    <row r="486" ht="15.75" customHeight="1" s="163">
      <c r="A486" s="97" t="n"/>
      <c r="B486" s="97" t="n"/>
      <c r="C486" s="97" t="n"/>
      <c r="D486" s="97" t="n"/>
      <c r="E486" s="97" t="n"/>
      <c r="F486" s="97" t="n"/>
    </row>
    <row r="487" ht="15.75" customHeight="1" s="163">
      <c r="A487" s="97" t="n"/>
      <c r="B487" s="97" t="n"/>
      <c r="C487" s="97" t="n"/>
      <c r="D487" s="97" t="n"/>
      <c r="E487" s="97" t="n"/>
      <c r="F487" s="97" t="n"/>
    </row>
    <row r="488" ht="15.75" customHeight="1" s="163">
      <c r="A488" s="97" t="n"/>
      <c r="B488" s="97" t="n"/>
      <c r="C488" s="97" t="n"/>
      <c r="D488" s="97" t="n"/>
      <c r="E488" s="97" t="n"/>
      <c r="F488" s="97" t="n"/>
    </row>
    <row r="489" ht="15.75" customHeight="1" s="163">
      <c r="A489" s="97" t="n"/>
      <c r="B489" s="97" t="n"/>
      <c r="C489" s="97" t="n"/>
      <c r="D489" s="97" t="n"/>
      <c r="E489" s="97" t="n"/>
      <c r="F489" s="97" t="n"/>
    </row>
    <row r="490" ht="15.75" customHeight="1" s="163">
      <c r="A490" s="97" t="n"/>
      <c r="B490" s="97" t="n"/>
      <c r="C490" s="97" t="n"/>
      <c r="D490" s="97" t="n"/>
      <c r="E490" s="97" t="n"/>
      <c r="F490" s="97" t="n"/>
    </row>
    <row r="491" ht="15.75" customHeight="1" s="163">
      <c r="A491" s="97" t="n"/>
      <c r="B491" s="97" t="n"/>
      <c r="C491" s="97" t="n"/>
      <c r="D491" s="97" t="n"/>
      <c r="E491" s="97" t="n"/>
      <c r="F491" s="97" t="n"/>
    </row>
    <row r="492" ht="15.75" customHeight="1" s="163">
      <c r="A492" s="97" t="n"/>
      <c r="B492" s="97" t="n"/>
      <c r="C492" s="97" t="n"/>
      <c r="D492" s="97" t="n"/>
      <c r="E492" s="97" t="n"/>
      <c r="F492" s="97" t="n"/>
    </row>
    <row r="493" ht="15.75" customHeight="1" s="163">
      <c r="A493" s="97" t="n"/>
      <c r="B493" s="97" t="n"/>
      <c r="C493" s="97" t="n"/>
      <c r="D493" s="97" t="n"/>
      <c r="E493" s="97" t="n"/>
      <c r="F493" s="97" t="n"/>
    </row>
    <row r="494" ht="15.75" customHeight="1" s="163">
      <c r="A494" s="97" t="n"/>
      <c r="B494" s="97" t="n"/>
      <c r="C494" s="97" t="n"/>
      <c r="D494" s="97" t="n"/>
      <c r="E494" s="97" t="n"/>
      <c r="F494" s="97" t="n"/>
    </row>
    <row r="495" ht="15.75" customHeight="1" s="163">
      <c r="A495" s="97" t="n"/>
      <c r="B495" s="97" t="n"/>
      <c r="C495" s="97" t="n"/>
      <c r="D495" s="97" t="n"/>
      <c r="E495" s="97" t="n"/>
      <c r="F495" s="97" t="n"/>
    </row>
    <row r="496" ht="15.75" customHeight="1" s="163">
      <c r="A496" s="97" t="n"/>
      <c r="B496" s="97" t="n"/>
      <c r="C496" s="97" t="n"/>
      <c r="D496" s="97" t="n"/>
      <c r="E496" s="97" t="n"/>
      <c r="F496" s="97" t="n"/>
    </row>
    <row r="497" ht="15.75" customHeight="1" s="163">
      <c r="A497" s="97" t="n"/>
      <c r="B497" s="97" t="n"/>
      <c r="C497" s="97" t="n"/>
      <c r="D497" s="97" t="n"/>
      <c r="E497" s="97" t="n"/>
      <c r="F497" s="97" t="n"/>
    </row>
    <row r="498" ht="15.75" customHeight="1" s="163">
      <c r="A498" s="97" t="n"/>
      <c r="B498" s="97" t="n"/>
      <c r="C498" s="97" t="n"/>
      <c r="D498" s="97" t="n"/>
      <c r="E498" s="97" t="n"/>
      <c r="F498" s="97" t="n"/>
    </row>
    <row r="499" ht="15.75" customHeight="1" s="163">
      <c r="A499" s="97" t="n"/>
      <c r="B499" s="97" t="n"/>
      <c r="C499" s="97" t="n"/>
      <c r="D499" s="97" t="n"/>
      <c r="E499" s="97" t="n"/>
      <c r="F499" s="97" t="n"/>
    </row>
    <row r="500" ht="15.75" customHeight="1" s="163">
      <c r="A500" s="97" t="n"/>
      <c r="B500" s="97" t="n"/>
      <c r="C500" s="97" t="n"/>
      <c r="D500" s="97" t="n"/>
      <c r="E500" s="97" t="n"/>
      <c r="F500" s="97" t="n"/>
    </row>
    <row r="501" ht="15.75" customHeight="1" s="163">
      <c r="A501" s="97" t="n"/>
      <c r="B501" s="97" t="n"/>
      <c r="C501" s="97" t="n"/>
      <c r="D501" s="97" t="n"/>
      <c r="E501" s="97" t="n"/>
      <c r="F501" s="97" t="n"/>
    </row>
    <row r="502" ht="15.75" customHeight="1" s="163">
      <c r="A502" s="97" t="n"/>
      <c r="B502" s="97" t="n"/>
      <c r="C502" s="97" t="n"/>
      <c r="D502" s="97" t="n"/>
      <c r="E502" s="97" t="n"/>
      <c r="F502" s="97" t="n"/>
    </row>
    <row r="503" ht="15.75" customHeight="1" s="163">
      <c r="A503" s="97" t="n"/>
      <c r="B503" s="97" t="n"/>
      <c r="C503" s="97" t="n"/>
      <c r="D503" s="97" t="n"/>
      <c r="E503" s="97" t="n"/>
      <c r="F503" s="97" t="n"/>
    </row>
    <row r="504" ht="15.75" customHeight="1" s="163">
      <c r="A504" s="97" t="n"/>
      <c r="B504" s="97" t="n"/>
      <c r="C504" s="97" t="n"/>
      <c r="D504" s="97" t="n"/>
      <c r="E504" s="97" t="n"/>
      <c r="F504" s="97" t="n"/>
    </row>
    <row r="505" ht="15.75" customHeight="1" s="163">
      <c r="A505" s="97" t="n"/>
      <c r="B505" s="97" t="n"/>
      <c r="C505" s="97" t="n"/>
      <c r="D505" s="97" t="n"/>
      <c r="E505" s="97" t="n"/>
      <c r="F505" s="97" t="n"/>
    </row>
    <row r="506" ht="15.75" customHeight="1" s="163">
      <c r="A506" s="97" t="n"/>
      <c r="B506" s="97" t="n"/>
      <c r="C506" s="97" t="n"/>
      <c r="D506" s="97" t="n"/>
      <c r="E506" s="97" t="n"/>
      <c r="F506" s="97" t="n"/>
    </row>
    <row r="507" ht="15.75" customHeight="1" s="163">
      <c r="A507" s="97" t="n"/>
      <c r="B507" s="97" t="n"/>
      <c r="C507" s="97" t="n"/>
      <c r="D507" s="97" t="n"/>
      <c r="E507" s="97" t="n"/>
      <c r="F507" s="97" t="n"/>
    </row>
    <row r="508" ht="15.75" customHeight="1" s="163">
      <c r="A508" s="97" t="n"/>
      <c r="B508" s="97" t="n"/>
      <c r="C508" s="97" t="n"/>
      <c r="D508" s="97" t="n"/>
      <c r="E508" s="97" t="n"/>
      <c r="F508" s="97" t="n"/>
    </row>
    <row r="509" ht="15.75" customHeight="1" s="163">
      <c r="A509" s="97" t="n"/>
      <c r="B509" s="97" t="n"/>
      <c r="C509" s="97" t="n"/>
      <c r="D509" s="97" t="n"/>
      <c r="E509" s="97" t="n"/>
      <c r="F509" s="97" t="n"/>
    </row>
    <row r="510" ht="15.75" customHeight="1" s="163">
      <c r="A510" s="97" t="n"/>
      <c r="B510" s="97" t="n"/>
      <c r="C510" s="97" t="n"/>
      <c r="D510" s="97" t="n"/>
      <c r="E510" s="97" t="n"/>
      <c r="F510" s="97" t="n"/>
    </row>
    <row r="511" ht="15.75" customHeight="1" s="163">
      <c r="A511" s="97" t="n"/>
      <c r="B511" s="97" t="n"/>
      <c r="C511" s="97" t="n"/>
      <c r="D511" s="97" t="n"/>
      <c r="E511" s="97" t="n"/>
      <c r="F511" s="97" t="n"/>
    </row>
    <row r="512" ht="15.75" customHeight="1" s="163">
      <c r="A512" s="97" t="n"/>
      <c r="B512" s="97" t="n"/>
      <c r="C512" s="97" t="n"/>
      <c r="D512" s="97" t="n"/>
      <c r="E512" s="97" t="n"/>
      <c r="F512" s="97" t="n"/>
    </row>
    <row r="513" ht="15.75" customHeight="1" s="163">
      <c r="A513" s="97" t="n"/>
      <c r="B513" s="97" t="n"/>
      <c r="C513" s="97" t="n"/>
      <c r="D513" s="97" t="n"/>
      <c r="E513" s="97" t="n"/>
      <c r="F513" s="97" t="n"/>
    </row>
    <row r="514" ht="15.75" customHeight="1" s="163">
      <c r="A514" s="97" t="n"/>
      <c r="B514" s="97" t="n"/>
      <c r="C514" s="97" t="n"/>
      <c r="D514" s="97" t="n"/>
      <c r="E514" s="97" t="n"/>
      <c r="F514" s="97" t="n"/>
    </row>
    <row r="515" ht="15.75" customHeight="1" s="163">
      <c r="A515" s="97" t="n"/>
      <c r="B515" s="97" t="n"/>
      <c r="C515" s="97" t="n"/>
      <c r="D515" s="97" t="n"/>
      <c r="E515" s="97" t="n"/>
      <c r="F515" s="97" t="n"/>
    </row>
    <row r="516" ht="15.75" customHeight="1" s="163">
      <c r="A516" s="97" t="n"/>
      <c r="B516" s="97" t="n"/>
      <c r="C516" s="97" t="n"/>
      <c r="D516" s="97" t="n"/>
      <c r="E516" s="97" t="n"/>
      <c r="F516" s="97" t="n"/>
    </row>
    <row r="517" ht="15.75" customHeight="1" s="163">
      <c r="A517" s="97" t="n"/>
      <c r="B517" s="97" t="n"/>
      <c r="C517" s="97" t="n"/>
      <c r="D517" s="97" t="n"/>
      <c r="E517" s="97" t="n"/>
      <c r="F517" s="97" t="n"/>
    </row>
    <row r="518" ht="15.75" customHeight="1" s="163">
      <c r="A518" s="97" t="n"/>
      <c r="B518" s="97" t="n"/>
      <c r="C518" s="97" t="n"/>
      <c r="D518" s="97" t="n"/>
      <c r="E518" s="97" t="n"/>
      <c r="F518" s="97" t="n"/>
    </row>
    <row r="519" ht="15.75" customHeight="1" s="163">
      <c r="A519" s="97" t="n"/>
      <c r="B519" s="97" t="n"/>
      <c r="C519" s="97" t="n"/>
      <c r="D519" s="97" t="n"/>
      <c r="E519" s="97" t="n"/>
      <c r="F519" s="97" t="n"/>
    </row>
    <row r="520" ht="15.75" customHeight="1" s="163">
      <c r="A520" s="97" t="n"/>
      <c r="B520" s="97" t="n"/>
      <c r="C520" s="97" t="n"/>
      <c r="D520" s="97" t="n"/>
      <c r="E520" s="97" t="n"/>
      <c r="F520" s="97" t="n"/>
    </row>
    <row r="521" ht="15.75" customHeight="1" s="163">
      <c r="A521" s="97" t="n"/>
      <c r="B521" s="97" t="n"/>
      <c r="C521" s="97" t="n"/>
      <c r="D521" s="97" t="n"/>
      <c r="E521" s="97" t="n"/>
      <c r="F521" s="97" t="n"/>
    </row>
    <row r="522" ht="15.75" customHeight="1" s="163">
      <c r="A522" s="97" t="n"/>
      <c r="B522" s="97" t="n"/>
      <c r="C522" s="97" t="n"/>
      <c r="D522" s="97" t="n"/>
      <c r="E522" s="97" t="n"/>
      <c r="F522" s="97" t="n"/>
    </row>
    <row r="523" ht="15.75" customHeight="1" s="163">
      <c r="A523" s="97" t="n"/>
      <c r="B523" s="97" t="n"/>
      <c r="C523" s="97" t="n"/>
      <c r="D523" s="97" t="n"/>
      <c r="E523" s="97" t="n"/>
      <c r="F523" s="97" t="n"/>
    </row>
    <row r="524" ht="15.75" customHeight="1" s="163">
      <c r="A524" s="97" t="n"/>
      <c r="B524" s="97" t="n"/>
      <c r="C524" s="97" t="n"/>
      <c r="D524" s="97" t="n"/>
      <c r="E524" s="97" t="n"/>
      <c r="F524" s="97" t="n"/>
    </row>
    <row r="525" ht="15.75" customHeight="1" s="163">
      <c r="A525" s="97" t="n"/>
      <c r="B525" s="97" t="n"/>
      <c r="C525" s="97" t="n"/>
      <c r="D525" s="97" t="n"/>
      <c r="E525" s="97" t="n"/>
      <c r="F525" s="97" t="n"/>
    </row>
    <row r="526" ht="15.75" customHeight="1" s="163">
      <c r="A526" s="97" t="n"/>
      <c r="B526" s="97" t="n"/>
      <c r="C526" s="97" t="n"/>
      <c r="D526" s="97" t="n"/>
      <c r="E526" s="97" t="n"/>
      <c r="F526" s="97" t="n"/>
    </row>
    <row r="527" ht="15.75" customHeight="1" s="163">
      <c r="A527" s="97" t="n"/>
      <c r="B527" s="97" t="n"/>
      <c r="C527" s="97" t="n"/>
      <c r="D527" s="97" t="n"/>
      <c r="E527" s="97" t="n"/>
      <c r="F527" s="97" t="n"/>
    </row>
    <row r="528" ht="15.75" customHeight="1" s="163">
      <c r="A528" s="97" t="n"/>
      <c r="B528" s="97" t="n"/>
      <c r="C528" s="97" t="n"/>
      <c r="D528" s="97" t="n"/>
      <c r="E528" s="97" t="n"/>
      <c r="F528" s="97" t="n"/>
    </row>
    <row r="529" ht="15.75" customHeight="1" s="163">
      <c r="A529" s="97" t="n"/>
      <c r="B529" s="97" t="n"/>
      <c r="C529" s="97" t="n"/>
      <c r="D529" s="97" t="n"/>
      <c r="E529" s="97" t="n"/>
      <c r="F529" s="97" t="n"/>
    </row>
    <row r="530" ht="15.75" customHeight="1" s="163">
      <c r="A530" s="97" t="n"/>
      <c r="B530" s="97" t="n"/>
      <c r="C530" s="97" t="n"/>
      <c r="D530" s="97" t="n"/>
      <c r="E530" s="97" t="n"/>
      <c r="F530" s="97" t="n"/>
    </row>
    <row r="531" ht="15.75" customHeight="1" s="163">
      <c r="A531" s="97" t="n"/>
      <c r="B531" s="97" t="n"/>
      <c r="C531" s="97" t="n"/>
      <c r="D531" s="97" t="n"/>
      <c r="E531" s="97" t="n"/>
      <c r="F531" s="97" t="n"/>
    </row>
    <row r="532" ht="15.75" customHeight="1" s="163">
      <c r="A532" s="97" t="n"/>
      <c r="B532" s="97" t="n"/>
      <c r="C532" s="97" t="n"/>
      <c r="D532" s="97" t="n"/>
      <c r="E532" s="97" t="n"/>
      <c r="F532" s="97" t="n"/>
    </row>
    <row r="533" ht="15.75" customHeight="1" s="163">
      <c r="A533" s="97" t="n"/>
      <c r="B533" s="97" t="n"/>
      <c r="C533" s="97" t="n"/>
      <c r="D533" s="97" t="n"/>
      <c r="E533" s="97" t="n"/>
      <c r="F533" s="97" t="n"/>
    </row>
    <row r="534" ht="15.75" customHeight="1" s="163">
      <c r="A534" s="97" t="n"/>
      <c r="B534" s="97" t="n"/>
      <c r="C534" s="97" t="n"/>
      <c r="D534" s="97" t="n"/>
      <c r="E534" s="97" t="n"/>
      <c r="F534" s="97" t="n"/>
    </row>
    <row r="535" ht="15.75" customHeight="1" s="163">
      <c r="A535" s="97" t="n"/>
      <c r="B535" s="97" t="n"/>
      <c r="C535" s="97" t="n"/>
      <c r="D535" s="97" t="n"/>
      <c r="E535" s="97" t="n"/>
      <c r="F535" s="97" t="n"/>
    </row>
    <row r="536" ht="15.75" customHeight="1" s="163">
      <c r="A536" s="97" t="n"/>
      <c r="B536" s="97" t="n"/>
      <c r="C536" s="97" t="n"/>
      <c r="D536" s="97" t="n"/>
      <c r="E536" s="97" t="n"/>
      <c r="F536" s="97" t="n"/>
    </row>
    <row r="537" ht="15.75" customHeight="1" s="163">
      <c r="A537" s="97" t="n"/>
      <c r="B537" s="97" t="n"/>
      <c r="C537" s="97" t="n"/>
      <c r="D537" s="97" t="n"/>
      <c r="E537" s="97" t="n"/>
      <c r="F537" s="97" t="n"/>
    </row>
    <row r="538" ht="15.75" customHeight="1" s="163">
      <c r="A538" s="97" t="n"/>
      <c r="B538" s="97" t="n"/>
      <c r="C538" s="97" t="n"/>
      <c r="D538" s="97" t="n"/>
      <c r="E538" s="97" t="n"/>
      <c r="F538" s="97" t="n"/>
    </row>
    <row r="539" ht="15.75" customHeight="1" s="163">
      <c r="A539" s="97" t="n"/>
      <c r="B539" s="97" t="n"/>
      <c r="C539" s="97" t="n"/>
      <c r="D539" s="97" t="n"/>
      <c r="E539" s="97" t="n"/>
      <c r="F539" s="97" t="n"/>
    </row>
    <row r="540" ht="15.75" customHeight="1" s="163">
      <c r="A540" s="97" t="n"/>
      <c r="B540" s="97" t="n"/>
      <c r="C540" s="97" t="n"/>
      <c r="D540" s="97" t="n"/>
      <c r="E540" s="97" t="n"/>
      <c r="F540" s="97" t="n"/>
    </row>
    <row r="541" ht="15.75" customHeight="1" s="163">
      <c r="A541" s="97" t="n"/>
      <c r="B541" s="97" t="n"/>
      <c r="C541" s="97" t="n"/>
      <c r="D541" s="97" t="n"/>
      <c r="E541" s="97" t="n"/>
      <c r="F541" s="97" t="n"/>
    </row>
    <row r="542" ht="15.75" customHeight="1" s="163">
      <c r="A542" s="97" t="n"/>
      <c r="B542" s="97" t="n"/>
      <c r="C542" s="97" t="n"/>
      <c r="D542" s="97" t="n"/>
      <c r="E542" s="97" t="n"/>
      <c r="F542" s="97" t="n"/>
    </row>
    <row r="543" ht="15.75" customHeight="1" s="163">
      <c r="A543" s="97" t="n"/>
      <c r="B543" s="97" t="n"/>
      <c r="C543" s="97" t="n"/>
      <c r="D543" s="97" t="n"/>
      <c r="E543" s="97" t="n"/>
      <c r="F543" s="97" t="n"/>
    </row>
    <row r="544" ht="15.75" customHeight="1" s="163">
      <c r="A544" s="97" t="n"/>
      <c r="B544" s="97" t="n"/>
      <c r="C544" s="97" t="n"/>
      <c r="D544" s="97" t="n"/>
      <c r="E544" s="97" t="n"/>
      <c r="F544" s="97" t="n"/>
    </row>
    <row r="545" ht="15.75" customHeight="1" s="163">
      <c r="A545" s="97" t="n"/>
      <c r="B545" s="97" t="n"/>
      <c r="C545" s="97" t="n"/>
      <c r="D545" s="97" t="n"/>
      <c r="E545" s="97" t="n"/>
      <c r="F545" s="97" t="n"/>
    </row>
    <row r="546" ht="15.75" customHeight="1" s="163">
      <c r="A546" s="97" t="n"/>
      <c r="B546" s="97" t="n"/>
      <c r="C546" s="97" t="n"/>
      <c r="D546" s="97" t="n"/>
      <c r="E546" s="97" t="n"/>
      <c r="F546" s="97" t="n"/>
    </row>
    <row r="547" ht="15.75" customHeight="1" s="163">
      <c r="A547" s="97" t="n"/>
      <c r="B547" s="97" t="n"/>
      <c r="C547" s="97" t="n"/>
      <c r="D547" s="97" t="n"/>
      <c r="E547" s="97" t="n"/>
      <c r="F547" s="97" t="n"/>
    </row>
    <row r="548" ht="15.75" customHeight="1" s="163">
      <c r="A548" s="97" t="n"/>
      <c r="B548" s="97" t="n"/>
      <c r="C548" s="97" t="n"/>
      <c r="D548" s="97" t="n"/>
      <c r="E548" s="97" t="n"/>
      <c r="F548" s="97" t="n"/>
    </row>
    <row r="549" ht="15.75" customHeight="1" s="163">
      <c r="A549" s="97" t="n"/>
      <c r="B549" s="97" t="n"/>
      <c r="C549" s="97" t="n"/>
      <c r="D549" s="97" t="n"/>
      <c r="E549" s="97" t="n"/>
      <c r="F549" s="97" t="n"/>
    </row>
    <row r="550" ht="15.75" customHeight="1" s="163">
      <c r="A550" s="97" t="n"/>
      <c r="B550" s="97" t="n"/>
      <c r="C550" s="97" t="n"/>
      <c r="D550" s="97" t="n"/>
      <c r="E550" s="97" t="n"/>
      <c r="F550" s="97" t="n"/>
    </row>
    <row r="551" ht="15.75" customHeight="1" s="163">
      <c r="A551" s="97" t="n"/>
      <c r="B551" s="97" t="n"/>
      <c r="C551" s="97" t="n"/>
      <c r="D551" s="97" t="n"/>
      <c r="E551" s="97" t="n"/>
      <c r="F551" s="97" t="n"/>
    </row>
    <row r="552" ht="15.75" customHeight="1" s="163">
      <c r="A552" s="97" t="n"/>
      <c r="B552" s="97" t="n"/>
      <c r="C552" s="97" t="n"/>
      <c r="D552" s="97" t="n"/>
      <c r="E552" s="97" t="n"/>
      <c r="F552" s="97" t="n"/>
    </row>
    <row r="553" ht="15.75" customHeight="1" s="163">
      <c r="A553" s="97" t="n"/>
      <c r="B553" s="97" t="n"/>
      <c r="C553" s="97" t="n"/>
      <c r="D553" s="97" t="n"/>
      <c r="E553" s="97" t="n"/>
      <c r="F553" s="97" t="n"/>
    </row>
    <row r="554" ht="15.75" customHeight="1" s="163">
      <c r="A554" s="97" t="n"/>
      <c r="B554" s="97" t="n"/>
      <c r="C554" s="97" t="n"/>
      <c r="D554" s="97" t="n"/>
      <c r="E554" s="97" t="n"/>
      <c r="F554" s="97" t="n"/>
    </row>
    <row r="555" ht="15.75" customHeight="1" s="163">
      <c r="A555" s="97" t="n"/>
      <c r="B555" s="97" t="n"/>
      <c r="C555" s="97" t="n"/>
      <c r="D555" s="97" t="n"/>
      <c r="E555" s="97" t="n"/>
      <c r="F555" s="97" t="n"/>
    </row>
    <row r="556" ht="15.75" customHeight="1" s="163">
      <c r="A556" s="97" t="n"/>
      <c r="B556" s="97" t="n"/>
      <c r="C556" s="97" t="n"/>
      <c r="D556" s="97" t="n"/>
      <c r="E556" s="97" t="n"/>
      <c r="F556" s="97" t="n"/>
    </row>
    <row r="557" ht="15.75" customHeight="1" s="163">
      <c r="A557" s="97" t="n"/>
      <c r="B557" s="97" t="n"/>
      <c r="C557" s="97" t="n"/>
      <c r="D557" s="97" t="n"/>
      <c r="E557" s="97" t="n"/>
      <c r="F557" s="97" t="n"/>
    </row>
    <row r="558" ht="15.75" customHeight="1" s="163">
      <c r="A558" s="97" t="n"/>
      <c r="B558" s="97" t="n"/>
      <c r="C558" s="97" t="n"/>
      <c r="D558" s="97" t="n"/>
      <c r="E558" s="97" t="n"/>
      <c r="F558" s="97" t="n"/>
    </row>
    <row r="559" ht="15.75" customHeight="1" s="163">
      <c r="A559" s="97" t="n"/>
      <c r="B559" s="97" t="n"/>
      <c r="C559" s="97" t="n"/>
      <c r="D559" s="97" t="n"/>
      <c r="E559" s="97" t="n"/>
      <c r="F559" s="97" t="n"/>
    </row>
    <row r="560" ht="15.75" customHeight="1" s="163">
      <c r="A560" s="97" t="n"/>
      <c r="B560" s="97" t="n"/>
      <c r="C560" s="97" t="n"/>
      <c r="D560" s="97" t="n"/>
      <c r="E560" s="97" t="n"/>
      <c r="F560" s="97" t="n"/>
    </row>
    <row r="561" ht="15.75" customHeight="1" s="163">
      <c r="A561" s="97" t="n"/>
      <c r="B561" s="97" t="n"/>
      <c r="C561" s="97" t="n"/>
      <c r="D561" s="97" t="n"/>
      <c r="E561" s="97" t="n"/>
      <c r="F561" s="97" t="n"/>
    </row>
    <row r="562" ht="15.75" customHeight="1" s="163">
      <c r="A562" s="97" t="n"/>
      <c r="B562" s="97" t="n"/>
      <c r="C562" s="97" t="n"/>
      <c r="D562" s="97" t="n"/>
      <c r="E562" s="97" t="n"/>
      <c r="F562" s="97" t="n"/>
    </row>
    <row r="563" ht="15.75" customHeight="1" s="163">
      <c r="A563" s="97" t="n"/>
      <c r="B563" s="97" t="n"/>
      <c r="C563" s="97" t="n"/>
      <c r="D563" s="97" t="n"/>
      <c r="E563" s="97" t="n"/>
      <c r="F563" s="97" t="n"/>
    </row>
    <row r="564" ht="15.75" customHeight="1" s="163">
      <c r="A564" s="97" t="n"/>
      <c r="B564" s="97" t="n"/>
      <c r="C564" s="97" t="n"/>
      <c r="D564" s="97" t="n"/>
      <c r="E564" s="97" t="n"/>
      <c r="F564" s="97" t="n"/>
    </row>
    <row r="565" ht="15.75" customHeight="1" s="163">
      <c r="A565" s="97" t="n"/>
      <c r="B565" s="97" t="n"/>
      <c r="C565" s="97" t="n"/>
      <c r="D565" s="97" t="n"/>
      <c r="E565" s="97" t="n"/>
      <c r="F565" s="97" t="n"/>
    </row>
    <row r="566" ht="15.75" customHeight="1" s="163">
      <c r="A566" s="97" t="n"/>
      <c r="B566" s="97" t="n"/>
      <c r="C566" s="97" t="n"/>
      <c r="D566" s="97" t="n"/>
      <c r="E566" s="97" t="n"/>
      <c r="F566" s="97" t="n"/>
    </row>
    <row r="567" ht="15.75" customHeight="1" s="163">
      <c r="A567" s="97" t="n"/>
      <c r="B567" s="97" t="n"/>
      <c r="C567" s="97" t="n"/>
      <c r="D567" s="97" t="n"/>
      <c r="E567" s="97" t="n"/>
      <c r="F567" s="97" t="n"/>
    </row>
    <row r="568" ht="15.75" customHeight="1" s="163">
      <c r="A568" s="97" t="n"/>
      <c r="B568" s="97" t="n"/>
      <c r="C568" s="97" t="n"/>
      <c r="D568" s="97" t="n"/>
      <c r="E568" s="97" t="n"/>
      <c r="F568" s="97" t="n"/>
    </row>
    <row r="569" ht="15.75" customHeight="1" s="163">
      <c r="A569" s="97" t="n"/>
      <c r="B569" s="97" t="n"/>
      <c r="C569" s="97" t="n"/>
      <c r="D569" s="97" t="n"/>
      <c r="E569" s="97" t="n"/>
      <c r="F569" s="97" t="n"/>
    </row>
    <row r="570" ht="15.75" customHeight="1" s="163">
      <c r="A570" s="97" t="n"/>
      <c r="B570" s="97" t="n"/>
      <c r="C570" s="97" t="n"/>
      <c r="D570" s="97" t="n"/>
      <c r="E570" s="97" t="n"/>
      <c r="F570" s="97" t="n"/>
    </row>
    <row r="571" ht="15.75" customHeight="1" s="163">
      <c r="A571" s="97" t="n"/>
      <c r="B571" s="97" t="n"/>
      <c r="C571" s="97" t="n"/>
      <c r="D571" s="97" t="n"/>
      <c r="E571" s="97" t="n"/>
      <c r="F571" s="97" t="n"/>
    </row>
    <row r="572" ht="15.75" customHeight="1" s="163">
      <c r="A572" s="97" t="n"/>
      <c r="B572" s="97" t="n"/>
      <c r="C572" s="97" t="n"/>
      <c r="D572" s="97" t="n"/>
      <c r="E572" s="97" t="n"/>
      <c r="F572" s="97" t="n"/>
    </row>
    <row r="573" ht="15.75" customHeight="1" s="163">
      <c r="A573" s="97" t="n"/>
      <c r="B573" s="97" t="n"/>
      <c r="C573" s="97" t="n"/>
      <c r="D573" s="97" t="n"/>
      <c r="E573" s="97" t="n"/>
      <c r="F573" s="97" t="n"/>
    </row>
    <row r="574" ht="15.75" customHeight="1" s="163">
      <c r="A574" s="97" t="n"/>
      <c r="B574" s="97" t="n"/>
      <c r="C574" s="97" t="n"/>
      <c r="D574" s="97" t="n"/>
      <c r="E574" s="97" t="n"/>
      <c r="F574" s="97" t="n"/>
    </row>
    <row r="575" ht="15.75" customHeight="1" s="163">
      <c r="A575" s="97" t="n"/>
      <c r="B575" s="97" t="n"/>
      <c r="C575" s="97" t="n"/>
      <c r="D575" s="97" t="n"/>
      <c r="E575" s="97" t="n"/>
      <c r="F575" s="97" t="n"/>
    </row>
    <row r="576" ht="15.75" customHeight="1" s="163">
      <c r="A576" s="97" t="n"/>
      <c r="B576" s="97" t="n"/>
      <c r="C576" s="97" t="n"/>
      <c r="D576" s="97" t="n"/>
      <c r="E576" s="97" t="n"/>
      <c r="F576" s="97" t="n"/>
    </row>
    <row r="577" ht="15.75" customHeight="1" s="163">
      <c r="A577" s="97" t="n"/>
      <c r="B577" s="97" t="n"/>
      <c r="C577" s="97" t="n"/>
      <c r="D577" s="97" t="n"/>
      <c r="E577" s="97" t="n"/>
      <c r="F577" s="97" t="n"/>
    </row>
    <row r="578" ht="15.75" customHeight="1" s="163">
      <c r="A578" s="97" t="n"/>
      <c r="B578" s="97" t="n"/>
      <c r="C578" s="97" t="n"/>
      <c r="D578" s="97" t="n"/>
      <c r="E578" s="97" t="n"/>
      <c r="F578" s="97" t="n"/>
    </row>
    <row r="579" ht="15.75" customHeight="1" s="163">
      <c r="A579" s="97" t="n"/>
      <c r="B579" s="97" t="n"/>
      <c r="C579" s="97" t="n"/>
      <c r="D579" s="97" t="n"/>
      <c r="E579" s="97" t="n"/>
      <c r="F579" s="97" t="n"/>
    </row>
    <row r="580" ht="15.75" customHeight="1" s="163">
      <c r="A580" s="97" t="n"/>
      <c r="B580" s="97" t="n"/>
      <c r="C580" s="97" t="n"/>
      <c r="D580" s="97" t="n"/>
      <c r="E580" s="97" t="n"/>
      <c r="F580" s="97" t="n"/>
    </row>
    <row r="581" ht="15.75" customHeight="1" s="163">
      <c r="A581" s="97" t="n"/>
      <c r="B581" s="97" t="n"/>
      <c r="C581" s="97" t="n"/>
      <c r="D581" s="97" t="n"/>
      <c r="E581" s="97" t="n"/>
      <c r="F581" s="97" t="n"/>
    </row>
    <row r="582" ht="15.75" customHeight="1" s="163">
      <c r="A582" s="97" t="n"/>
      <c r="B582" s="97" t="n"/>
      <c r="C582" s="97" t="n"/>
      <c r="D582" s="97" t="n"/>
      <c r="E582" s="97" t="n"/>
      <c r="F582" s="97" t="n"/>
    </row>
    <row r="583" ht="15.75" customHeight="1" s="163">
      <c r="A583" s="97" t="n"/>
      <c r="B583" s="97" t="n"/>
      <c r="C583" s="97" t="n"/>
      <c r="D583" s="97" t="n"/>
      <c r="E583" s="97" t="n"/>
      <c r="F583" s="97" t="n"/>
    </row>
    <row r="584" ht="15.75" customHeight="1" s="163">
      <c r="A584" s="97" t="n"/>
      <c r="B584" s="97" t="n"/>
      <c r="C584" s="97" t="n"/>
      <c r="D584" s="97" t="n"/>
      <c r="E584" s="97" t="n"/>
      <c r="F584" s="97" t="n"/>
    </row>
    <row r="585" ht="15.75" customHeight="1" s="163">
      <c r="A585" s="97" t="n"/>
      <c r="B585" s="97" t="n"/>
      <c r="C585" s="97" t="n"/>
      <c r="D585" s="97" t="n"/>
      <c r="E585" s="97" t="n"/>
      <c r="F585" s="97" t="n"/>
    </row>
    <row r="586" ht="15.75" customHeight="1" s="163">
      <c r="A586" s="97" t="n"/>
      <c r="B586" s="97" t="n"/>
      <c r="C586" s="97" t="n"/>
      <c r="D586" s="97" t="n"/>
      <c r="E586" s="97" t="n"/>
      <c r="F586" s="97" t="n"/>
    </row>
    <row r="587" ht="15.75" customHeight="1" s="163">
      <c r="A587" s="97" t="n"/>
      <c r="B587" s="97" t="n"/>
      <c r="C587" s="97" t="n"/>
      <c r="D587" s="97" t="n"/>
      <c r="E587" s="97" t="n"/>
      <c r="F587" s="97" t="n"/>
    </row>
    <row r="588" ht="15.75" customHeight="1" s="163">
      <c r="A588" s="97" t="n"/>
      <c r="B588" s="97" t="n"/>
      <c r="C588" s="97" t="n"/>
      <c r="D588" s="97" t="n"/>
      <c r="E588" s="97" t="n"/>
      <c r="F588" s="97" t="n"/>
    </row>
    <row r="589" ht="15.75" customHeight="1" s="163">
      <c r="A589" s="97" t="n"/>
      <c r="B589" s="97" t="n"/>
      <c r="C589" s="97" t="n"/>
      <c r="D589" s="97" t="n"/>
      <c r="E589" s="97" t="n"/>
      <c r="F589" s="97" t="n"/>
    </row>
    <row r="590" ht="15.75" customHeight="1" s="163">
      <c r="A590" s="97" t="n"/>
      <c r="B590" s="97" t="n"/>
      <c r="C590" s="97" t="n"/>
      <c r="D590" s="97" t="n"/>
      <c r="E590" s="97" t="n"/>
      <c r="F590" s="97" t="n"/>
    </row>
    <row r="591" ht="15.75" customHeight="1" s="163">
      <c r="A591" s="97" t="n"/>
      <c r="B591" s="97" t="n"/>
      <c r="C591" s="97" t="n"/>
      <c r="D591" s="97" t="n"/>
      <c r="E591" s="97" t="n"/>
      <c r="F591" s="97" t="n"/>
    </row>
    <row r="592" ht="15.75" customHeight="1" s="163">
      <c r="A592" s="97" t="n"/>
      <c r="B592" s="97" t="n"/>
      <c r="C592" s="97" t="n"/>
      <c r="D592" s="97" t="n"/>
      <c r="E592" s="97" t="n"/>
      <c r="F592" s="97" t="n"/>
    </row>
    <row r="593" ht="15.75" customHeight="1" s="163">
      <c r="A593" s="97" t="n"/>
      <c r="B593" s="97" t="n"/>
      <c r="C593" s="97" t="n"/>
      <c r="D593" s="97" t="n"/>
      <c r="E593" s="97" t="n"/>
      <c r="F593" s="97" t="n"/>
    </row>
    <row r="594" ht="15.75" customHeight="1" s="163">
      <c r="A594" s="97" t="n"/>
      <c r="B594" s="97" t="n"/>
      <c r="C594" s="97" t="n"/>
      <c r="D594" s="97" t="n"/>
      <c r="E594" s="97" t="n"/>
      <c r="F594" s="97" t="n"/>
    </row>
    <row r="595" ht="15.75" customHeight="1" s="163">
      <c r="A595" s="97" t="n"/>
      <c r="B595" s="97" t="n"/>
      <c r="C595" s="97" t="n"/>
      <c r="D595" s="97" t="n"/>
      <c r="E595" s="97" t="n"/>
      <c r="F595" s="97" t="n"/>
    </row>
    <row r="596" ht="15.75" customHeight="1" s="163">
      <c r="A596" s="97" t="n"/>
      <c r="B596" s="97" t="n"/>
      <c r="C596" s="97" t="n"/>
      <c r="D596" s="97" t="n"/>
      <c r="E596" s="97" t="n"/>
      <c r="F596" s="97" t="n"/>
    </row>
    <row r="597" ht="15.75" customHeight="1" s="163">
      <c r="A597" s="97" t="n"/>
      <c r="B597" s="97" t="n"/>
      <c r="C597" s="97" t="n"/>
      <c r="D597" s="97" t="n"/>
      <c r="E597" s="97" t="n"/>
      <c r="F597" s="97" t="n"/>
    </row>
    <row r="598" ht="15.75" customHeight="1" s="163">
      <c r="A598" s="97" t="n"/>
      <c r="B598" s="97" t="n"/>
      <c r="C598" s="97" t="n"/>
      <c r="D598" s="97" t="n"/>
      <c r="E598" s="97" t="n"/>
      <c r="F598" s="97" t="n"/>
    </row>
    <row r="599" ht="15.75" customHeight="1" s="163">
      <c r="A599" s="97" t="n"/>
      <c r="B599" s="97" t="n"/>
      <c r="C599" s="97" t="n"/>
      <c r="D599" s="97" t="n"/>
      <c r="E599" s="97" t="n"/>
      <c r="F599" s="97" t="n"/>
    </row>
    <row r="600" ht="15.75" customHeight="1" s="163">
      <c r="A600" s="97" t="n"/>
      <c r="B600" s="97" t="n"/>
      <c r="C600" s="97" t="n"/>
      <c r="D600" s="97" t="n"/>
      <c r="E600" s="97" t="n"/>
      <c r="F600" s="97" t="n"/>
    </row>
    <row r="601" ht="15.75" customHeight="1" s="163">
      <c r="A601" s="97" t="n"/>
      <c r="B601" s="97" t="n"/>
      <c r="C601" s="97" t="n"/>
      <c r="D601" s="97" t="n"/>
      <c r="E601" s="97" t="n"/>
      <c r="F601" s="97" t="n"/>
    </row>
    <row r="602" ht="15.75" customHeight="1" s="163">
      <c r="A602" s="97" t="n"/>
      <c r="B602" s="97" t="n"/>
      <c r="C602" s="97" t="n"/>
      <c r="D602" s="97" t="n"/>
      <c r="E602" s="97" t="n"/>
      <c r="F602" s="97" t="n"/>
    </row>
    <row r="603" ht="15.75" customHeight="1" s="163">
      <c r="A603" s="97" t="n"/>
      <c r="B603" s="97" t="n"/>
      <c r="C603" s="97" t="n"/>
      <c r="D603" s="97" t="n"/>
      <c r="E603" s="97" t="n"/>
      <c r="F603" s="97" t="n"/>
    </row>
    <row r="604" ht="15.75" customHeight="1" s="163">
      <c r="A604" s="97" t="n"/>
      <c r="B604" s="97" t="n"/>
      <c r="C604" s="97" t="n"/>
      <c r="D604" s="97" t="n"/>
      <c r="E604" s="97" t="n"/>
      <c r="F604" s="97" t="n"/>
    </row>
    <row r="605" ht="15.75" customHeight="1" s="163">
      <c r="A605" s="97" t="n"/>
      <c r="B605" s="97" t="n"/>
      <c r="C605" s="97" t="n"/>
      <c r="D605" s="97" t="n"/>
      <c r="E605" s="97" t="n"/>
      <c r="F605" s="97" t="n"/>
    </row>
    <row r="606" ht="15.75" customHeight="1" s="163">
      <c r="A606" s="97" t="n"/>
      <c r="B606" s="97" t="n"/>
      <c r="C606" s="97" t="n"/>
      <c r="D606" s="97" t="n"/>
      <c r="E606" s="97" t="n"/>
      <c r="F606" s="97" t="n"/>
    </row>
    <row r="607" ht="15.75" customHeight="1" s="163">
      <c r="A607" s="97" t="n"/>
      <c r="B607" s="97" t="n"/>
      <c r="C607" s="97" t="n"/>
      <c r="D607" s="97" t="n"/>
      <c r="E607" s="97" t="n"/>
      <c r="F607" s="97" t="n"/>
    </row>
    <row r="608" ht="15.75" customHeight="1" s="163">
      <c r="A608" s="97" t="n"/>
      <c r="B608" s="97" t="n"/>
      <c r="C608" s="97" t="n"/>
      <c r="D608" s="97" t="n"/>
      <c r="E608" s="97" t="n"/>
      <c r="F608" s="97" t="n"/>
    </row>
    <row r="609" ht="15.75" customHeight="1" s="163">
      <c r="A609" s="97" t="n"/>
      <c r="B609" s="97" t="n"/>
      <c r="C609" s="97" t="n"/>
      <c r="D609" s="97" t="n"/>
      <c r="E609" s="97" t="n"/>
      <c r="F609" s="97" t="n"/>
    </row>
    <row r="610" ht="15.75" customHeight="1" s="163">
      <c r="A610" s="97" t="n"/>
      <c r="B610" s="97" t="n"/>
      <c r="C610" s="97" t="n"/>
      <c r="D610" s="97" t="n"/>
      <c r="E610" s="97" t="n"/>
      <c r="F610" s="97" t="n"/>
    </row>
    <row r="611" ht="15.75" customHeight="1" s="163">
      <c r="A611" s="97" t="n"/>
      <c r="B611" s="97" t="n"/>
      <c r="C611" s="97" t="n"/>
      <c r="D611" s="97" t="n"/>
      <c r="E611" s="97" t="n"/>
      <c r="F611" s="97" t="n"/>
    </row>
    <row r="612" ht="15.75" customHeight="1" s="163">
      <c r="A612" s="97" t="n"/>
      <c r="B612" s="97" t="n"/>
      <c r="C612" s="97" t="n"/>
      <c r="D612" s="97" t="n"/>
      <c r="E612" s="97" t="n"/>
      <c r="F612" s="97" t="n"/>
    </row>
    <row r="613" ht="15.75" customHeight="1" s="163">
      <c r="A613" s="97" t="n"/>
      <c r="B613" s="97" t="n"/>
      <c r="C613" s="97" t="n"/>
      <c r="D613" s="97" t="n"/>
      <c r="E613" s="97" t="n"/>
      <c r="F613" s="97" t="n"/>
    </row>
    <row r="614" ht="15.75" customHeight="1" s="163">
      <c r="A614" s="97" t="n"/>
      <c r="B614" s="97" t="n"/>
      <c r="C614" s="97" t="n"/>
      <c r="D614" s="97" t="n"/>
      <c r="E614" s="97" t="n"/>
      <c r="F614" s="97" t="n"/>
    </row>
    <row r="615" ht="15.75" customHeight="1" s="163">
      <c r="A615" s="97" t="n"/>
      <c r="B615" s="97" t="n"/>
      <c r="C615" s="97" t="n"/>
      <c r="D615" s="97" t="n"/>
      <c r="E615" s="97" t="n"/>
      <c r="F615" s="97" t="n"/>
    </row>
    <row r="616" ht="15.75" customHeight="1" s="163">
      <c r="A616" s="97" t="n"/>
      <c r="B616" s="97" t="n"/>
      <c r="C616" s="97" t="n"/>
      <c r="D616" s="97" t="n"/>
      <c r="E616" s="97" t="n"/>
      <c r="F616" s="97" t="n"/>
    </row>
    <row r="617" ht="15.75" customHeight="1" s="163">
      <c r="A617" s="97" t="n"/>
      <c r="B617" s="97" t="n"/>
      <c r="C617" s="97" t="n"/>
      <c r="D617" s="97" t="n"/>
      <c r="E617" s="97" t="n"/>
      <c r="F617" s="97" t="n"/>
    </row>
    <row r="618" ht="15.75" customHeight="1" s="163">
      <c r="A618" s="97" t="n"/>
      <c r="B618" s="97" t="n"/>
      <c r="C618" s="97" t="n"/>
      <c r="D618" s="97" t="n"/>
      <c r="E618" s="97" t="n"/>
      <c r="F618" s="97" t="n"/>
    </row>
    <row r="619" ht="15.75" customHeight="1" s="163">
      <c r="A619" s="97" t="n"/>
      <c r="B619" s="97" t="n"/>
      <c r="C619" s="97" t="n"/>
      <c r="D619" s="97" t="n"/>
      <c r="E619" s="97" t="n"/>
      <c r="F619" s="97" t="n"/>
    </row>
    <row r="620" ht="15.75" customHeight="1" s="163">
      <c r="A620" s="97" t="n"/>
      <c r="B620" s="97" t="n"/>
      <c r="C620" s="97" t="n"/>
      <c r="D620" s="97" t="n"/>
      <c r="E620" s="97" t="n"/>
      <c r="F620" s="97" t="n"/>
    </row>
    <row r="621" ht="15.75" customHeight="1" s="163">
      <c r="A621" s="97" t="n"/>
      <c r="B621" s="97" t="n"/>
      <c r="C621" s="97" t="n"/>
      <c r="D621" s="97" t="n"/>
      <c r="E621" s="97" t="n"/>
      <c r="F621" s="97" t="n"/>
    </row>
    <row r="622" ht="15.75" customHeight="1" s="163">
      <c r="A622" s="97" t="n"/>
      <c r="B622" s="97" t="n"/>
      <c r="C622" s="97" t="n"/>
      <c r="D622" s="97" t="n"/>
      <c r="E622" s="97" t="n"/>
      <c r="F622" s="97" t="n"/>
    </row>
    <row r="623" ht="15.75" customHeight="1" s="163">
      <c r="A623" s="97" t="n"/>
      <c r="B623" s="97" t="n"/>
      <c r="C623" s="97" t="n"/>
      <c r="D623" s="97" t="n"/>
      <c r="E623" s="97" t="n"/>
      <c r="F623" s="97" t="n"/>
    </row>
    <row r="624" ht="15.75" customHeight="1" s="163">
      <c r="A624" s="97" t="n"/>
      <c r="B624" s="97" t="n"/>
      <c r="C624" s="97" t="n"/>
      <c r="D624" s="97" t="n"/>
      <c r="E624" s="97" t="n"/>
      <c r="F624" s="97" t="n"/>
    </row>
    <row r="625" ht="15.75" customHeight="1" s="163">
      <c r="A625" s="97" t="n"/>
      <c r="B625" s="97" t="n"/>
      <c r="C625" s="97" t="n"/>
      <c r="D625" s="97" t="n"/>
      <c r="E625" s="97" t="n"/>
      <c r="F625" s="97" t="n"/>
    </row>
    <row r="626" ht="15.75" customHeight="1" s="163">
      <c r="A626" s="97" t="n"/>
      <c r="B626" s="97" t="n"/>
      <c r="C626" s="97" t="n"/>
      <c r="D626" s="97" t="n"/>
      <c r="E626" s="97" t="n"/>
      <c r="F626" s="97" t="n"/>
    </row>
    <row r="627" ht="15.75" customHeight="1" s="163">
      <c r="A627" s="97" t="n"/>
      <c r="B627" s="97" t="n"/>
      <c r="C627" s="97" t="n"/>
      <c r="D627" s="97" t="n"/>
      <c r="E627" s="97" t="n"/>
      <c r="F627" s="97" t="n"/>
    </row>
    <row r="628" ht="15.75" customHeight="1" s="163">
      <c r="A628" s="97" t="n"/>
      <c r="B628" s="97" t="n"/>
      <c r="C628" s="97" t="n"/>
      <c r="D628" s="97" t="n"/>
      <c r="E628" s="97" t="n"/>
      <c r="F628" s="97" t="n"/>
    </row>
    <row r="629" ht="15.75" customHeight="1" s="163">
      <c r="A629" s="97" t="n"/>
      <c r="B629" s="97" t="n"/>
      <c r="C629" s="97" t="n"/>
      <c r="D629" s="97" t="n"/>
      <c r="E629" s="97" t="n"/>
      <c r="F629" s="97" t="n"/>
    </row>
    <row r="630" ht="15.75" customHeight="1" s="163">
      <c r="A630" s="97" t="n"/>
      <c r="B630" s="97" t="n"/>
      <c r="C630" s="97" t="n"/>
      <c r="D630" s="97" t="n"/>
      <c r="E630" s="97" t="n"/>
      <c r="F630" s="97" t="n"/>
    </row>
    <row r="631" ht="15.75" customHeight="1" s="163">
      <c r="A631" s="97" t="n"/>
      <c r="B631" s="97" t="n"/>
      <c r="C631" s="97" t="n"/>
      <c r="D631" s="97" t="n"/>
      <c r="E631" s="97" t="n"/>
      <c r="F631" s="97" t="n"/>
    </row>
    <row r="632" ht="15.75" customHeight="1" s="163">
      <c r="A632" s="97" t="n"/>
      <c r="B632" s="97" t="n"/>
      <c r="C632" s="97" t="n"/>
      <c r="D632" s="97" t="n"/>
      <c r="E632" s="97" t="n"/>
      <c r="F632" s="97" t="n"/>
    </row>
    <row r="633" ht="15.75" customHeight="1" s="163">
      <c r="A633" s="97" t="n"/>
      <c r="B633" s="97" t="n"/>
      <c r="C633" s="97" t="n"/>
      <c r="D633" s="97" t="n"/>
      <c r="E633" s="97" t="n"/>
      <c r="F633" s="97" t="n"/>
    </row>
    <row r="634" ht="15.75" customHeight="1" s="163">
      <c r="A634" s="97" t="n"/>
      <c r="B634" s="97" t="n"/>
      <c r="C634" s="97" t="n"/>
      <c r="D634" s="97" t="n"/>
      <c r="E634" s="97" t="n"/>
      <c r="F634" s="97" t="n"/>
    </row>
    <row r="635" ht="15.75" customHeight="1" s="163">
      <c r="A635" s="97" t="n"/>
      <c r="B635" s="97" t="n"/>
      <c r="C635" s="97" t="n"/>
      <c r="D635" s="97" t="n"/>
      <c r="E635" s="97" t="n"/>
      <c r="F635" s="97" t="n"/>
    </row>
    <row r="636" ht="15.75" customHeight="1" s="163">
      <c r="A636" s="97" t="n"/>
      <c r="B636" s="97" t="n"/>
      <c r="C636" s="97" t="n"/>
      <c r="D636" s="97" t="n"/>
      <c r="E636" s="97" t="n"/>
      <c r="F636" s="97" t="n"/>
    </row>
    <row r="637" ht="15.75" customHeight="1" s="163">
      <c r="A637" s="97" t="n"/>
      <c r="B637" s="97" t="n"/>
      <c r="C637" s="97" t="n"/>
      <c r="D637" s="97" t="n"/>
      <c r="E637" s="97" t="n"/>
      <c r="F637" s="97" t="n"/>
    </row>
    <row r="638" ht="15.75" customHeight="1" s="163">
      <c r="A638" s="97" t="n"/>
      <c r="B638" s="97" t="n"/>
      <c r="C638" s="97" t="n"/>
      <c r="D638" s="97" t="n"/>
      <c r="E638" s="97" t="n"/>
      <c r="F638" s="97" t="n"/>
    </row>
    <row r="639" ht="15.75" customHeight="1" s="163">
      <c r="A639" s="97" t="n"/>
      <c r="B639" s="97" t="n"/>
      <c r="C639" s="97" t="n"/>
      <c r="D639" s="97" t="n"/>
      <c r="E639" s="97" t="n"/>
      <c r="F639" s="97" t="n"/>
    </row>
    <row r="640" ht="15.75" customHeight="1" s="163">
      <c r="A640" s="97" t="n"/>
      <c r="B640" s="97" t="n"/>
      <c r="C640" s="97" t="n"/>
      <c r="D640" s="97" t="n"/>
      <c r="E640" s="97" t="n"/>
      <c r="F640" s="97" t="n"/>
    </row>
    <row r="641" ht="15.75" customHeight="1" s="163">
      <c r="A641" s="97" t="n"/>
      <c r="B641" s="97" t="n"/>
      <c r="C641" s="97" t="n"/>
      <c r="D641" s="97" t="n"/>
      <c r="E641" s="97" t="n"/>
      <c r="F641" s="97" t="n"/>
    </row>
    <row r="642" ht="15.75" customHeight="1" s="163">
      <c r="A642" s="97" t="n"/>
      <c r="B642" s="97" t="n"/>
      <c r="C642" s="97" t="n"/>
      <c r="D642" s="97" t="n"/>
      <c r="E642" s="97" t="n"/>
      <c r="F642" s="97" t="n"/>
    </row>
    <row r="643" ht="15.75" customHeight="1" s="163">
      <c r="A643" s="97" t="n"/>
      <c r="B643" s="97" t="n"/>
      <c r="C643" s="97" t="n"/>
      <c r="D643" s="97" t="n"/>
      <c r="E643" s="97" t="n"/>
      <c r="F643" s="97" t="n"/>
    </row>
    <row r="644" ht="15.75" customHeight="1" s="163">
      <c r="A644" s="97" t="n"/>
      <c r="B644" s="97" t="n"/>
      <c r="C644" s="97" t="n"/>
      <c r="D644" s="97" t="n"/>
      <c r="E644" s="97" t="n"/>
      <c r="F644" s="97" t="n"/>
    </row>
    <row r="645" ht="15.75" customHeight="1" s="163">
      <c r="A645" s="97" t="n"/>
      <c r="B645" s="97" t="n"/>
      <c r="C645" s="97" t="n"/>
      <c r="D645" s="97" t="n"/>
      <c r="E645" s="97" t="n"/>
      <c r="F645" s="97" t="n"/>
    </row>
    <row r="646" ht="15.75" customHeight="1" s="163">
      <c r="A646" s="97" t="n"/>
      <c r="B646" s="97" t="n"/>
      <c r="C646" s="97" t="n"/>
      <c r="D646" s="97" t="n"/>
      <c r="E646" s="97" t="n"/>
      <c r="F646" s="97" t="n"/>
    </row>
    <row r="647" ht="15.75" customHeight="1" s="163">
      <c r="A647" s="97" t="n"/>
      <c r="B647" s="97" t="n"/>
      <c r="C647" s="97" t="n"/>
      <c r="D647" s="97" t="n"/>
      <c r="E647" s="97" t="n"/>
      <c r="F647" s="97" t="n"/>
    </row>
    <row r="648" ht="15.75" customHeight="1" s="163">
      <c r="A648" s="97" t="n"/>
      <c r="B648" s="97" t="n"/>
      <c r="C648" s="97" t="n"/>
      <c r="D648" s="97" t="n"/>
      <c r="E648" s="97" t="n"/>
      <c r="F648" s="97" t="n"/>
    </row>
    <row r="649" ht="15.75" customHeight="1" s="163">
      <c r="A649" s="97" t="n"/>
      <c r="B649" s="97" t="n"/>
      <c r="C649" s="97" t="n"/>
      <c r="D649" s="97" t="n"/>
      <c r="E649" s="97" t="n"/>
      <c r="F649" s="97" t="n"/>
    </row>
    <row r="650" ht="15.75" customHeight="1" s="163">
      <c r="A650" s="97" t="n"/>
      <c r="B650" s="97" t="n"/>
      <c r="C650" s="97" t="n"/>
      <c r="D650" s="97" t="n"/>
      <c r="E650" s="97" t="n"/>
      <c r="F650" s="97" t="n"/>
    </row>
    <row r="651" ht="15.75" customHeight="1" s="163">
      <c r="A651" s="97" t="n"/>
      <c r="B651" s="97" t="n"/>
      <c r="C651" s="97" t="n"/>
      <c r="D651" s="97" t="n"/>
      <c r="E651" s="97" t="n"/>
      <c r="F651" s="97" t="n"/>
    </row>
    <row r="652" ht="15.75" customHeight="1" s="163">
      <c r="A652" s="97" t="n"/>
      <c r="B652" s="97" t="n"/>
      <c r="C652" s="97" t="n"/>
      <c r="D652" s="97" t="n"/>
      <c r="E652" s="97" t="n"/>
      <c r="F652" s="97" t="n"/>
    </row>
    <row r="653" ht="15.75" customHeight="1" s="163">
      <c r="A653" s="97" t="n"/>
      <c r="B653" s="97" t="n"/>
      <c r="C653" s="97" t="n"/>
      <c r="D653" s="97" t="n"/>
      <c r="E653" s="97" t="n"/>
      <c r="F653" s="97" t="n"/>
    </row>
    <row r="654" ht="15.75" customHeight="1" s="163">
      <c r="A654" s="97" t="n"/>
      <c r="B654" s="97" t="n"/>
      <c r="C654" s="97" t="n"/>
      <c r="D654" s="97" t="n"/>
      <c r="E654" s="97" t="n"/>
      <c r="F654" s="97" t="n"/>
    </row>
    <row r="655" ht="15.75" customHeight="1" s="163">
      <c r="A655" s="97" t="n"/>
      <c r="B655" s="97" t="n"/>
      <c r="C655" s="97" t="n"/>
      <c r="D655" s="97" t="n"/>
      <c r="E655" s="97" t="n"/>
      <c r="F655" s="97" t="n"/>
    </row>
    <row r="656" ht="15.75" customHeight="1" s="163">
      <c r="A656" s="97" t="n"/>
      <c r="B656" s="97" t="n"/>
      <c r="C656" s="97" t="n"/>
      <c r="D656" s="97" t="n"/>
      <c r="E656" s="97" t="n"/>
      <c r="F656" s="97" t="n"/>
    </row>
    <row r="657" ht="15.75" customHeight="1" s="163">
      <c r="A657" s="97" t="n"/>
      <c r="B657" s="97" t="n"/>
      <c r="C657" s="97" t="n"/>
      <c r="D657" s="97" t="n"/>
      <c r="E657" s="97" t="n"/>
      <c r="F657" s="97" t="n"/>
    </row>
    <row r="658" ht="15.75" customHeight="1" s="163">
      <c r="A658" s="97" t="n"/>
      <c r="B658" s="97" t="n"/>
      <c r="C658" s="97" t="n"/>
      <c r="D658" s="97" t="n"/>
      <c r="E658" s="97" t="n"/>
      <c r="F658" s="97" t="n"/>
    </row>
    <row r="659" ht="15.75" customHeight="1" s="163">
      <c r="A659" s="97" t="n"/>
      <c r="B659" s="97" t="n"/>
      <c r="C659" s="97" t="n"/>
      <c r="D659" s="97" t="n"/>
      <c r="E659" s="97" t="n"/>
      <c r="F659" s="97" t="n"/>
    </row>
    <row r="660" ht="15.75" customHeight="1" s="163">
      <c r="A660" s="97" t="n"/>
      <c r="B660" s="97" t="n"/>
      <c r="C660" s="97" t="n"/>
      <c r="D660" s="97" t="n"/>
      <c r="E660" s="97" t="n"/>
      <c r="F660" s="97" t="n"/>
    </row>
    <row r="661" ht="15.75" customHeight="1" s="163">
      <c r="A661" s="97" t="n"/>
      <c r="B661" s="97" t="n"/>
      <c r="C661" s="97" t="n"/>
      <c r="D661" s="97" t="n"/>
      <c r="E661" s="97" t="n"/>
      <c r="F661" s="97" t="n"/>
    </row>
    <row r="662" ht="15.75" customHeight="1" s="163">
      <c r="A662" s="97" t="n"/>
      <c r="B662" s="97" t="n"/>
      <c r="C662" s="97" t="n"/>
      <c r="D662" s="97" t="n"/>
      <c r="E662" s="97" t="n"/>
      <c r="F662" s="97" t="n"/>
    </row>
    <row r="663" ht="15.75" customHeight="1" s="163">
      <c r="A663" s="97" t="n"/>
      <c r="B663" s="97" t="n"/>
      <c r="C663" s="97" t="n"/>
      <c r="D663" s="97" t="n"/>
      <c r="E663" s="97" t="n"/>
      <c r="F663" s="97" t="n"/>
    </row>
    <row r="664" ht="15.75" customHeight="1" s="163">
      <c r="A664" s="97" t="n"/>
      <c r="B664" s="97" t="n"/>
      <c r="C664" s="97" t="n"/>
      <c r="D664" s="97" t="n"/>
      <c r="E664" s="97" t="n"/>
      <c r="F664" s="97" t="n"/>
    </row>
    <row r="665" ht="15.75" customHeight="1" s="163">
      <c r="A665" s="97" t="n"/>
      <c r="B665" s="97" t="n"/>
      <c r="C665" s="97" t="n"/>
      <c r="D665" s="97" t="n"/>
      <c r="E665" s="97" t="n"/>
      <c r="F665" s="97" t="n"/>
    </row>
    <row r="666" ht="15.75" customHeight="1" s="163">
      <c r="A666" s="97" t="n"/>
      <c r="B666" s="97" t="n"/>
      <c r="C666" s="97" t="n"/>
      <c r="D666" s="97" t="n"/>
      <c r="E666" s="97" t="n"/>
      <c r="F666" s="97" t="n"/>
    </row>
    <row r="667" ht="15.75" customHeight="1" s="163">
      <c r="A667" s="97" t="n"/>
      <c r="B667" s="97" t="n"/>
      <c r="C667" s="97" t="n"/>
      <c r="D667" s="97" t="n"/>
      <c r="E667" s="97" t="n"/>
      <c r="F667" s="97" t="n"/>
    </row>
    <row r="668" ht="15.75" customHeight="1" s="163">
      <c r="A668" s="97" t="n"/>
      <c r="B668" s="97" t="n"/>
      <c r="C668" s="97" t="n"/>
      <c r="D668" s="97" t="n"/>
      <c r="E668" s="97" t="n"/>
      <c r="F668" s="97" t="n"/>
    </row>
    <row r="669" ht="15.75" customHeight="1" s="163">
      <c r="A669" s="97" t="n"/>
      <c r="B669" s="97" t="n"/>
      <c r="C669" s="97" t="n"/>
      <c r="D669" s="97" t="n"/>
      <c r="E669" s="97" t="n"/>
      <c r="F669" s="97" t="n"/>
    </row>
    <row r="670" ht="15.75" customHeight="1" s="163">
      <c r="A670" s="97" t="n"/>
      <c r="B670" s="97" t="n"/>
      <c r="C670" s="97" t="n"/>
      <c r="D670" s="97" t="n"/>
      <c r="E670" s="97" t="n"/>
      <c r="F670" s="97" t="n"/>
    </row>
    <row r="671" ht="15.75" customHeight="1" s="163">
      <c r="A671" s="97" t="n"/>
      <c r="B671" s="97" t="n"/>
      <c r="C671" s="97" t="n"/>
      <c r="D671" s="97" t="n"/>
      <c r="E671" s="97" t="n"/>
      <c r="F671" s="97" t="n"/>
    </row>
    <row r="672" ht="15.75" customHeight="1" s="163">
      <c r="A672" s="97" t="n"/>
      <c r="B672" s="97" t="n"/>
      <c r="C672" s="97" t="n"/>
      <c r="D672" s="97" t="n"/>
      <c r="E672" s="97" t="n"/>
      <c r="F672" s="97" t="n"/>
    </row>
    <row r="673" ht="15.75" customHeight="1" s="163">
      <c r="A673" s="97" t="n"/>
      <c r="B673" s="97" t="n"/>
      <c r="C673" s="97" t="n"/>
      <c r="D673" s="97" t="n"/>
      <c r="E673" s="97" t="n"/>
      <c r="F673" s="97" t="n"/>
    </row>
    <row r="674" ht="15.75" customHeight="1" s="163">
      <c r="A674" s="97" t="n"/>
      <c r="B674" s="97" t="n"/>
      <c r="C674" s="97" t="n"/>
      <c r="D674" s="97" t="n"/>
      <c r="E674" s="97" t="n"/>
      <c r="F674" s="97" t="n"/>
    </row>
    <row r="675" ht="15.75" customHeight="1" s="163">
      <c r="A675" s="97" t="n"/>
      <c r="B675" s="97" t="n"/>
      <c r="C675" s="97" t="n"/>
      <c r="D675" s="97" t="n"/>
      <c r="E675" s="97" t="n"/>
      <c r="F675" s="97" t="n"/>
    </row>
    <row r="676" ht="15.75" customHeight="1" s="163">
      <c r="A676" s="97" t="n"/>
      <c r="B676" s="97" t="n"/>
      <c r="C676" s="97" t="n"/>
      <c r="D676" s="97" t="n"/>
      <c r="E676" s="97" t="n"/>
      <c r="F676" s="97" t="n"/>
    </row>
    <row r="677" ht="15.75" customHeight="1" s="163">
      <c r="A677" s="97" t="n"/>
      <c r="B677" s="97" t="n"/>
      <c r="C677" s="97" t="n"/>
      <c r="D677" s="97" t="n"/>
      <c r="E677" s="97" t="n"/>
      <c r="F677" s="97" t="n"/>
    </row>
    <row r="678" ht="15.75" customHeight="1" s="163">
      <c r="A678" s="97" t="n"/>
      <c r="B678" s="97" t="n"/>
      <c r="C678" s="97" t="n"/>
      <c r="D678" s="97" t="n"/>
      <c r="E678" s="97" t="n"/>
      <c r="F678" s="97" t="n"/>
    </row>
    <row r="679" ht="15.75" customHeight="1" s="163">
      <c r="A679" s="97" t="n"/>
      <c r="B679" s="97" t="n"/>
      <c r="C679" s="97" t="n"/>
      <c r="D679" s="97" t="n"/>
      <c r="E679" s="97" t="n"/>
      <c r="F679" s="97" t="n"/>
    </row>
    <row r="680" ht="15.75" customHeight="1" s="163">
      <c r="A680" s="97" t="n"/>
      <c r="B680" s="97" t="n"/>
      <c r="C680" s="97" t="n"/>
      <c r="D680" s="97" t="n"/>
      <c r="E680" s="97" t="n"/>
      <c r="F680" s="97" t="n"/>
    </row>
    <row r="681" ht="15.75" customHeight="1" s="163">
      <c r="A681" s="97" t="n"/>
      <c r="B681" s="97" t="n"/>
      <c r="C681" s="97" t="n"/>
      <c r="D681" s="97" t="n"/>
      <c r="E681" s="97" t="n"/>
      <c r="F681" s="97" t="n"/>
    </row>
    <row r="682" ht="15.75" customHeight="1" s="163">
      <c r="A682" s="97" t="n"/>
      <c r="B682" s="97" t="n"/>
      <c r="C682" s="97" t="n"/>
      <c r="D682" s="97" t="n"/>
      <c r="E682" s="97" t="n"/>
      <c r="F682" s="97" t="n"/>
    </row>
    <row r="683" ht="15.75" customHeight="1" s="163">
      <c r="A683" s="97" t="n"/>
      <c r="B683" s="97" t="n"/>
      <c r="C683" s="97" t="n"/>
      <c r="D683" s="97" t="n"/>
      <c r="E683" s="97" t="n"/>
      <c r="F683" s="97" t="n"/>
    </row>
    <row r="684" ht="15.75" customHeight="1" s="163">
      <c r="A684" s="97" t="n"/>
      <c r="B684" s="97" t="n"/>
      <c r="C684" s="97" t="n"/>
      <c r="D684" s="97" t="n"/>
      <c r="E684" s="97" t="n"/>
      <c r="F684" s="97" t="n"/>
    </row>
    <row r="685" ht="15.75" customHeight="1" s="163">
      <c r="A685" s="97" t="n"/>
      <c r="B685" s="97" t="n"/>
      <c r="C685" s="97" t="n"/>
      <c r="D685" s="97" t="n"/>
      <c r="E685" s="97" t="n"/>
      <c r="F685" s="97" t="n"/>
    </row>
    <row r="686" ht="15.75" customHeight="1" s="163">
      <c r="A686" s="97" t="n"/>
      <c r="B686" s="97" t="n"/>
      <c r="C686" s="97" t="n"/>
      <c r="D686" s="97" t="n"/>
      <c r="E686" s="97" t="n"/>
      <c r="F686" s="97" t="n"/>
    </row>
    <row r="687" ht="15.75" customHeight="1" s="163">
      <c r="A687" s="97" t="n"/>
      <c r="B687" s="97" t="n"/>
      <c r="C687" s="97" t="n"/>
      <c r="D687" s="97" t="n"/>
      <c r="E687" s="97" t="n"/>
      <c r="F687" s="97" t="n"/>
    </row>
    <row r="688" ht="15.75" customHeight="1" s="163">
      <c r="A688" s="97" t="n"/>
      <c r="B688" s="97" t="n"/>
      <c r="C688" s="97" t="n"/>
      <c r="D688" s="97" t="n"/>
      <c r="E688" s="97" t="n"/>
      <c r="F688" s="97" t="n"/>
    </row>
    <row r="689" ht="15.75" customHeight="1" s="163">
      <c r="A689" s="97" t="n"/>
      <c r="B689" s="97" t="n"/>
      <c r="C689" s="97" t="n"/>
      <c r="D689" s="97" t="n"/>
      <c r="E689" s="97" t="n"/>
      <c r="F689" s="97" t="n"/>
    </row>
    <row r="690" ht="15.75" customHeight="1" s="163">
      <c r="A690" s="97" t="n"/>
      <c r="B690" s="97" t="n"/>
      <c r="C690" s="97" t="n"/>
      <c r="D690" s="97" t="n"/>
      <c r="E690" s="97" t="n"/>
      <c r="F690" s="97" t="n"/>
    </row>
    <row r="691" ht="15.75" customHeight="1" s="163">
      <c r="A691" s="97" t="n"/>
      <c r="B691" s="97" t="n"/>
      <c r="C691" s="97" t="n"/>
      <c r="D691" s="97" t="n"/>
      <c r="E691" s="97" t="n"/>
      <c r="F691" s="97" t="n"/>
    </row>
    <row r="692" ht="15.75" customHeight="1" s="163">
      <c r="A692" s="97" t="n"/>
      <c r="B692" s="97" t="n"/>
      <c r="C692" s="97" t="n"/>
      <c r="D692" s="97" t="n"/>
      <c r="E692" s="97" t="n"/>
      <c r="F692" s="97" t="n"/>
    </row>
    <row r="693" ht="15.75" customHeight="1" s="163">
      <c r="A693" s="97" t="n"/>
      <c r="B693" s="97" t="n"/>
      <c r="C693" s="97" t="n"/>
      <c r="D693" s="97" t="n"/>
      <c r="E693" s="97" t="n"/>
      <c r="F693" s="97" t="n"/>
    </row>
    <row r="694" ht="15.75" customHeight="1" s="163">
      <c r="A694" s="97" t="n"/>
      <c r="B694" s="97" t="n"/>
      <c r="C694" s="97" t="n"/>
      <c r="D694" s="97" t="n"/>
      <c r="E694" s="97" t="n"/>
      <c r="F694" s="97" t="n"/>
    </row>
    <row r="695" ht="15.75" customHeight="1" s="163">
      <c r="A695" s="97" t="n"/>
      <c r="B695" s="97" t="n"/>
      <c r="C695" s="97" t="n"/>
      <c r="D695" s="97" t="n"/>
      <c r="E695" s="97" t="n"/>
      <c r="F695" s="97" t="n"/>
    </row>
    <row r="696" ht="15.75" customHeight="1" s="163">
      <c r="A696" s="97" t="n"/>
      <c r="B696" s="97" t="n"/>
      <c r="C696" s="97" t="n"/>
      <c r="D696" s="97" t="n"/>
      <c r="E696" s="97" t="n"/>
      <c r="F696" s="97" t="n"/>
    </row>
    <row r="697" ht="15.75" customHeight="1" s="163">
      <c r="A697" s="97" t="n"/>
      <c r="B697" s="97" t="n"/>
      <c r="C697" s="97" t="n"/>
      <c r="D697" s="97" t="n"/>
      <c r="E697" s="97" t="n"/>
      <c r="F697" s="97" t="n"/>
    </row>
    <row r="698" ht="15.75" customHeight="1" s="163">
      <c r="A698" s="97" t="n"/>
      <c r="B698" s="97" t="n"/>
      <c r="C698" s="97" t="n"/>
      <c r="D698" s="97" t="n"/>
      <c r="E698" s="97" t="n"/>
      <c r="F698" s="97" t="n"/>
    </row>
    <row r="699" ht="15.75" customHeight="1" s="163">
      <c r="A699" s="97" t="n"/>
      <c r="B699" s="97" t="n"/>
      <c r="C699" s="97" t="n"/>
      <c r="D699" s="97" t="n"/>
      <c r="E699" s="97" t="n"/>
      <c r="F699" s="97" t="n"/>
    </row>
    <row r="700" ht="15.75" customHeight="1" s="163">
      <c r="A700" s="97" t="n"/>
      <c r="B700" s="97" t="n"/>
      <c r="C700" s="97" t="n"/>
      <c r="D700" s="97" t="n"/>
      <c r="E700" s="97" t="n"/>
      <c r="F700" s="97" t="n"/>
    </row>
    <row r="701" ht="15.75" customHeight="1" s="163">
      <c r="A701" s="97" t="n"/>
      <c r="B701" s="97" t="n"/>
      <c r="C701" s="97" t="n"/>
      <c r="D701" s="97" t="n"/>
      <c r="E701" s="97" t="n"/>
      <c r="F701" s="97" t="n"/>
    </row>
    <row r="702" ht="15.75" customHeight="1" s="163">
      <c r="A702" s="97" t="n"/>
      <c r="B702" s="97" t="n"/>
      <c r="C702" s="97" t="n"/>
      <c r="D702" s="97" t="n"/>
      <c r="E702" s="97" t="n"/>
      <c r="F702" s="97" t="n"/>
    </row>
    <row r="703" ht="15.75" customHeight="1" s="163">
      <c r="A703" s="97" t="n"/>
      <c r="B703" s="97" t="n"/>
      <c r="C703" s="97" t="n"/>
      <c r="D703" s="97" t="n"/>
      <c r="E703" s="97" t="n"/>
      <c r="F703" s="97" t="n"/>
    </row>
    <row r="704" ht="15.75" customHeight="1" s="163">
      <c r="A704" s="97" t="n"/>
      <c r="B704" s="97" t="n"/>
      <c r="C704" s="97" t="n"/>
      <c r="D704" s="97" t="n"/>
      <c r="E704" s="97" t="n"/>
      <c r="F704" s="97" t="n"/>
    </row>
    <row r="705" ht="15.75" customHeight="1" s="163">
      <c r="A705" s="97" t="n"/>
      <c r="B705" s="97" t="n"/>
      <c r="C705" s="97" t="n"/>
      <c r="D705" s="97" t="n"/>
      <c r="E705" s="97" t="n"/>
      <c r="F705" s="97" t="n"/>
    </row>
    <row r="706" ht="15.75" customHeight="1" s="163">
      <c r="A706" s="97" t="n"/>
      <c r="B706" s="97" t="n"/>
      <c r="C706" s="97" t="n"/>
      <c r="D706" s="97" t="n"/>
      <c r="E706" s="97" t="n"/>
      <c r="F706" s="97" t="n"/>
    </row>
    <row r="707" ht="15.75" customHeight="1" s="163">
      <c r="A707" s="97" t="n"/>
      <c r="B707" s="97" t="n"/>
      <c r="C707" s="97" t="n"/>
      <c r="D707" s="97" t="n"/>
      <c r="E707" s="97" t="n"/>
      <c r="F707" s="97" t="n"/>
    </row>
    <row r="708" ht="15.75" customHeight="1" s="163">
      <c r="A708" s="97" t="n"/>
      <c r="B708" s="97" t="n"/>
      <c r="C708" s="97" t="n"/>
      <c r="D708" s="97" t="n"/>
      <c r="E708" s="97" t="n"/>
      <c r="F708" s="97" t="n"/>
    </row>
    <row r="709" ht="15.75" customHeight="1" s="163">
      <c r="A709" s="97" t="n"/>
      <c r="B709" s="97" t="n"/>
      <c r="C709" s="97" t="n"/>
      <c r="D709" s="97" t="n"/>
      <c r="E709" s="97" t="n"/>
      <c r="F709" s="97" t="n"/>
    </row>
    <row r="710" ht="15.75" customHeight="1" s="163">
      <c r="A710" s="97" t="n"/>
      <c r="B710" s="97" t="n"/>
      <c r="C710" s="97" t="n"/>
      <c r="D710" s="97" t="n"/>
      <c r="E710" s="97" t="n"/>
      <c r="F710" s="97" t="n"/>
    </row>
    <row r="711" ht="15.75" customHeight="1" s="163">
      <c r="A711" s="97" t="n"/>
      <c r="B711" s="97" t="n"/>
      <c r="C711" s="97" t="n"/>
      <c r="D711" s="97" t="n"/>
      <c r="E711" s="97" t="n"/>
      <c r="F711" s="97" t="n"/>
    </row>
    <row r="712" ht="15.75" customHeight="1" s="163">
      <c r="A712" s="97" t="n"/>
      <c r="B712" s="97" t="n"/>
      <c r="C712" s="97" t="n"/>
      <c r="D712" s="97" t="n"/>
      <c r="E712" s="97" t="n"/>
      <c r="F712" s="97" t="n"/>
    </row>
    <row r="713" ht="15.75" customHeight="1" s="163">
      <c r="A713" s="97" t="n"/>
      <c r="B713" s="97" t="n"/>
      <c r="C713" s="97" t="n"/>
      <c r="D713" s="97" t="n"/>
      <c r="E713" s="97" t="n"/>
      <c r="F713" s="97" t="n"/>
    </row>
    <row r="714" ht="15.75" customHeight="1" s="163">
      <c r="A714" s="97" t="n"/>
      <c r="B714" s="97" t="n"/>
      <c r="C714" s="97" t="n"/>
      <c r="D714" s="97" t="n"/>
      <c r="E714" s="97" t="n"/>
      <c r="F714" s="97" t="n"/>
    </row>
    <row r="715" ht="15.75" customHeight="1" s="163">
      <c r="A715" s="97" t="n"/>
      <c r="B715" s="97" t="n"/>
      <c r="C715" s="97" t="n"/>
      <c r="D715" s="97" t="n"/>
      <c r="E715" s="97" t="n"/>
      <c r="F715" s="97" t="n"/>
    </row>
    <row r="716" ht="15.75" customHeight="1" s="163">
      <c r="A716" s="97" t="n"/>
      <c r="B716" s="97" t="n"/>
      <c r="C716" s="97" t="n"/>
      <c r="D716" s="97" t="n"/>
      <c r="E716" s="97" t="n"/>
      <c r="F716" s="97" t="n"/>
    </row>
    <row r="717" ht="15.75" customHeight="1" s="163">
      <c r="A717" s="97" t="n"/>
      <c r="B717" s="97" t="n"/>
      <c r="C717" s="97" t="n"/>
      <c r="D717" s="97" t="n"/>
      <c r="E717" s="97" t="n"/>
      <c r="F717" s="97" t="n"/>
    </row>
    <row r="718" ht="15.75" customHeight="1" s="163">
      <c r="A718" s="97" t="n"/>
      <c r="B718" s="97" t="n"/>
      <c r="C718" s="97" t="n"/>
      <c r="D718" s="97" t="n"/>
      <c r="E718" s="97" t="n"/>
      <c r="F718" s="97" t="n"/>
    </row>
    <row r="719" ht="15.75" customHeight="1" s="163">
      <c r="A719" s="97" t="n"/>
      <c r="B719" s="97" t="n"/>
      <c r="C719" s="97" t="n"/>
      <c r="D719" s="97" t="n"/>
      <c r="E719" s="97" t="n"/>
      <c r="F719" s="97" t="n"/>
    </row>
    <row r="720" ht="15.75" customHeight="1" s="163">
      <c r="A720" s="97" t="n"/>
      <c r="B720" s="97" t="n"/>
      <c r="C720" s="97" t="n"/>
      <c r="D720" s="97" t="n"/>
      <c r="E720" s="97" t="n"/>
      <c r="F720" s="97" t="n"/>
    </row>
    <row r="721" ht="15.75" customHeight="1" s="163">
      <c r="A721" s="97" t="n"/>
      <c r="B721" s="97" t="n"/>
      <c r="C721" s="97" t="n"/>
      <c r="D721" s="97" t="n"/>
      <c r="E721" s="97" t="n"/>
      <c r="F721" s="97" t="n"/>
    </row>
    <row r="722" ht="15.75" customHeight="1" s="163">
      <c r="A722" s="97" t="n"/>
      <c r="B722" s="97" t="n"/>
      <c r="C722" s="97" t="n"/>
      <c r="D722" s="97" t="n"/>
      <c r="E722" s="97" t="n"/>
      <c r="F722" s="97" t="n"/>
    </row>
    <row r="723" ht="15.75" customHeight="1" s="163">
      <c r="A723" s="97" t="n"/>
      <c r="B723" s="97" t="n"/>
      <c r="C723" s="97" t="n"/>
      <c r="D723" s="97" t="n"/>
      <c r="E723" s="97" t="n"/>
      <c r="F723" s="97" t="n"/>
    </row>
    <row r="724" ht="15.75" customHeight="1" s="163">
      <c r="A724" s="97" t="n"/>
      <c r="B724" s="97" t="n"/>
      <c r="C724" s="97" t="n"/>
      <c r="D724" s="97" t="n"/>
      <c r="E724" s="97" t="n"/>
      <c r="F724" s="97" t="n"/>
    </row>
    <row r="725" ht="15.75" customHeight="1" s="163">
      <c r="A725" s="97" t="n"/>
      <c r="B725" s="97" t="n"/>
      <c r="C725" s="97" t="n"/>
      <c r="D725" s="97" t="n"/>
      <c r="E725" s="97" t="n"/>
      <c r="F725" s="97" t="n"/>
    </row>
    <row r="726" ht="15.75" customHeight="1" s="163">
      <c r="A726" s="97" t="n"/>
      <c r="B726" s="97" t="n"/>
      <c r="C726" s="97" t="n"/>
      <c r="D726" s="97" t="n"/>
      <c r="E726" s="97" t="n"/>
      <c r="F726" s="97" t="n"/>
    </row>
    <row r="727" ht="15.75" customHeight="1" s="163">
      <c r="A727" s="97" t="n"/>
      <c r="B727" s="97" t="n"/>
      <c r="C727" s="97" t="n"/>
      <c r="D727" s="97" t="n"/>
      <c r="E727" s="97" t="n"/>
      <c r="F727" s="97" t="n"/>
    </row>
    <row r="728" ht="15.75" customHeight="1" s="163">
      <c r="A728" s="97" t="n"/>
      <c r="B728" s="97" t="n"/>
      <c r="C728" s="97" t="n"/>
      <c r="D728" s="97" t="n"/>
      <c r="E728" s="97" t="n"/>
      <c r="F728" s="97" t="n"/>
    </row>
    <row r="729" ht="15.75" customHeight="1" s="163">
      <c r="A729" s="97" t="n"/>
      <c r="B729" s="97" t="n"/>
      <c r="C729" s="97" t="n"/>
      <c r="D729" s="97" t="n"/>
      <c r="E729" s="97" t="n"/>
      <c r="F729" s="97" t="n"/>
    </row>
    <row r="730" ht="15.75" customHeight="1" s="163">
      <c r="A730" s="97" t="n"/>
      <c r="B730" s="97" t="n"/>
      <c r="C730" s="97" t="n"/>
      <c r="D730" s="97" t="n"/>
      <c r="E730" s="97" t="n"/>
      <c r="F730" s="97" t="n"/>
    </row>
    <row r="731" ht="15.75" customHeight="1" s="163">
      <c r="A731" s="97" t="n"/>
      <c r="B731" s="97" t="n"/>
      <c r="C731" s="97" t="n"/>
      <c r="D731" s="97" t="n"/>
      <c r="E731" s="97" t="n"/>
      <c r="F731" s="97" t="n"/>
    </row>
    <row r="732" ht="15.75" customHeight="1" s="163">
      <c r="A732" s="97" t="n"/>
      <c r="B732" s="97" t="n"/>
      <c r="C732" s="97" t="n"/>
      <c r="D732" s="97" t="n"/>
      <c r="E732" s="97" t="n"/>
      <c r="F732" s="97" t="n"/>
    </row>
    <row r="733" ht="15.75" customHeight="1" s="163">
      <c r="A733" s="97" t="n"/>
      <c r="B733" s="97" t="n"/>
      <c r="C733" s="97" t="n"/>
      <c r="D733" s="97" t="n"/>
      <c r="E733" s="97" t="n"/>
      <c r="F733" s="97" t="n"/>
    </row>
    <row r="734" ht="15.75" customHeight="1" s="163">
      <c r="A734" s="97" t="n"/>
      <c r="B734" s="97" t="n"/>
      <c r="C734" s="97" t="n"/>
      <c r="D734" s="97" t="n"/>
      <c r="E734" s="97" t="n"/>
      <c r="F734" s="97" t="n"/>
    </row>
    <row r="735" ht="15.75" customHeight="1" s="163">
      <c r="A735" s="97" t="n"/>
      <c r="B735" s="97" t="n"/>
      <c r="C735" s="97" t="n"/>
      <c r="D735" s="97" t="n"/>
      <c r="E735" s="97" t="n"/>
      <c r="F735" s="97" t="n"/>
    </row>
    <row r="736" ht="15.75" customHeight="1" s="163">
      <c r="A736" s="97" t="n"/>
      <c r="B736" s="97" t="n"/>
      <c r="C736" s="97" t="n"/>
      <c r="D736" s="97" t="n"/>
      <c r="E736" s="97" t="n"/>
      <c r="F736" s="97" t="n"/>
    </row>
    <row r="737" ht="15.75" customHeight="1" s="163">
      <c r="A737" s="97" t="n"/>
      <c r="B737" s="97" t="n"/>
      <c r="C737" s="97" t="n"/>
      <c r="D737" s="97" t="n"/>
      <c r="E737" s="97" t="n"/>
      <c r="F737" s="97" t="n"/>
    </row>
    <row r="738" ht="15.75" customHeight="1" s="163">
      <c r="A738" s="97" t="n"/>
      <c r="B738" s="97" t="n"/>
      <c r="C738" s="97" t="n"/>
      <c r="D738" s="97" t="n"/>
      <c r="E738" s="97" t="n"/>
      <c r="F738" s="97" t="n"/>
    </row>
    <row r="739" ht="15.75" customHeight="1" s="163">
      <c r="A739" s="97" t="n"/>
      <c r="B739" s="97" t="n"/>
      <c r="C739" s="97" t="n"/>
      <c r="D739" s="97" t="n"/>
      <c r="E739" s="97" t="n"/>
      <c r="F739" s="97" t="n"/>
    </row>
    <row r="740" ht="15.75" customHeight="1" s="163">
      <c r="A740" s="97" t="n"/>
      <c r="B740" s="97" t="n"/>
      <c r="C740" s="97" t="n"/>
      <c r="D740" s="97" t="n"/>
      <c r="E740" s="97" t="n"/>
      <c r="F740" s="97" t="n"/>
    </row>
    <row r="741" ht="15.75" customHeight="1" s="163">
      <c r="A741" s="97" t="n"/>
      <c r="B741" s="97" t="n"/>
      <c r="C741" s="97" t="n"/>
      <c r="D741" s="97" t="n"/>
      <c r="E741" s="97" t="n"/>
      <c r="F741" s="97" t="n"/>
    </row>
    <row r="742" ht="15.75" customHeight="1" s="163">
      <c r="A742" s="97" t="n"/>
      <c r="B742" s="97" t="n"/>
      <c r="C742" s="97" t="n"/>
      <c r="D742" s="97" t="n"/>
      <c r="E742" s="97" t="n"/>
      <c r="F742" s="97" t="n"/>
    </row>
    <row r="743" ht="15.75" customHeight="1" s="163">
      <c r="A743" s="97" t="n"/>
      <c r="B743" s="97" t="n"/>
      <c r="C743" s="97" t="n"/>
      <c r="D743" s="97" t="n"/>
      <c r="E743" s="97" t="n"/>
      <c r="F743" s="97" t="n"/>
    </row>
    <row r="744" ht="15.75" customHeight="1" s="163">
      <c r="A744" s="97" t="n"/>
      <c r="B744" s="97" t="n"/>
      <c r="C744" s="97" t="n"/>
      <c r="D744" s="97" t="n"/>
      <c r="E744" s="97" t="n"/>
      <c r="F744" s="97" t="n"/>
    </row>
    <row r="745" ht="15.75" customHeight="1" s="163">
      <c r="A745" s="97" t="n"/>
      <c r="B745" s="97" t="n"/>
      <c r="C745" s="97" t="n"/>
      <c r="D745" s="97" t="n"/>
      <c r="E745" s="97" t="n"/>
      <c r="F745" s="97" t="n"/>
    </row>
    <row r="746" ht="15.75" customHeight="1" s="163">
      <c r="A746" s="97" t="n"/>
      <c r="B746" s="97" t="n"/>
      <c r="C746" s="97" t="n"/>
      <c r="D746" s="97" t="n"/>
      <c r="E746" s="97" t="n"/>
      <c r="F746" s="97" t="n"/>
    </row>
    <row r="747" ht="15.75" customHeight="1" s="163">
      <c r="A747" s="97" t="n"/>
      <c r="B747" s="97" t="n"/>
      <c r="C747" s="97" t="n"/>
      <c r="D747" s="97" t="n"/>
      <c r="E747" s="97" t="n"/>
      <c r="F747" s="97" t="n"/>
    </row>
    <row r="748" ht="15.75" customHeight="1" s="163">
      <c r="A748" s="97" t="n"/>
      <c r="B748" s="97" t="n"/>
      <c r="C748" s="97" t="n"/>
      <c r="D748" s="97" t="n"/>
      <c r="E748" s="97" t="n"/>
      <c r="F748" s="97" t="n"/>
    </row>
    <row r="749" ht="15.75" customHeight="1" s="163">
      <c r="A749" s="97" t="n"/>
      <c r="B749" s="97" t="n"/>
      <c r="C749" s="97" t="n"/>
      <c r="D749" s="97" t="n"/>
      <c r="E749" s="97" t="n"/>
      <c r="F749" s="97" t="n"/>
    </row>
    <row r="750" ht="15.75" customHeight="1" s="163">
      <c r="A750" s="97" t="n"/>
      <c r="B750" s="97" t="n"/>
      <c r="C750" s="97" t="n"/>
      <c r="D750" s="97" t="n"/>
      <c r="E750" s="97" t="n"/>
      <c r="F750" s="97" t="n"/>
    </row>
    <row r="751" ht="15.75" customHeight="1" s="163">
      <c r="A751" s="97" t="n"/>
      <c r="B751" s="97" t="n"/>
      <c r="C751" s="97" t="n"/>
      <c r="D751" s="97" t="n"/>
      <c r="E751" s="97" t="n"/>
      <c r="F751" s="97" t="n"/>
    </row>
    <row r="752" ht="15.75" customHeight="1" s="163">
      <c r="A752" s="97" t="n"/>
      <c r="B752" s="97" t="n"/>
      <c r="C752" s="97" t="n"/>
      <c r="D752" s="97" t="n"/>
      <c r="E752" s="97" t="n"/>
      <c r="F752" s="97" t="n"/>
    </row>
    <row r="753" ht="15.75" customHeight="1" s="163">
      <c r="A753" s="97" t="n"/>
      <c r="B753" s="97" t="n"/>
      <c r="C753" s="97" t="n"/>
      <c r="D753" s="97" t="n"/>
      <c r="E753" s="97" t="n"/>
      <c r="F753" s="97" t="n"/>
    </row>
    <row r="754" ht="15.75" customHeight="1" s="163">
      <c r="A754" s="97" t="n"/>
      <c r="B754" s="97" t="n"/>
      <c r="C754" s="97" t="n"/>
      <c r="D754" s="97" t="n"/>
      <c r="E754" s="97" t="n"/>
      <c r="F754" s="97" t="n"/>
    </row>
    <row r="755" ht="15.75" customHeight="1" s="163">
      <c r="A755" s="97" t="n"/>
      <c r="B755" s="97" t="n"/>
      <c r="C755" s="97" t="n"/>
      <c r="D755" s="97" t="n"/>
      <c r="E755" s="97" t="n"/>
      <c r="F755" s="97" t="n"/>
    </row>
    <row r="756" ht="15.75" customHeight="1" s="163">
      <c r="A756" s="97" t="n"/>
      <c r="B756" s="97" t="n"/>
      <c r="C756" s="97" t="n"/>
      <c r="D756" s="97" t="n"/>
      <c r="E756" s="97" t="n"/>
      <c r="F756" s="97" t="n"/>
    </row>
    <row r="757" ht="15.75" customHeight="1" s="163">
      <c r="A757" s="97" t="n"/>
      <c r="B757" s="97" t="n"/>
      <c r="C757" s="97" t="n"/>
      <c r="D757" s="97" t="n"/>
      <c r="E757" s="97" t="n"/>
      <c r="F757" s="97" t="n"/>
    </row>
    <row r="758" ht="15.75" customHeight="1" s="163">
      <c r="A758" s="97" t="n"/>
      <c r="B758" s="97" t="n"/>
      <c r="C758" s="97" t="n"/>
      <c r="D758" s="97" t="n"/>
      <c r="E758" s="97" t="n"/>
      <c r="F758" s="97" t="n"/>
    </row>
    <row r="759" ht="15.75" customHeight="1" s="163">
      <c r="A759" s="97" t="n"/>
      <c r="B759" s="97" t="n"/>
      <c r="C759" s="97" t="n"/>
      <c r="D759" s="97" t="n"/>
      <c r="E759" s="97" t="n"/>
      <c r="F759" s="97" t="n"/>
    </row>
    <row r="760" ht="15.75" customHeight="1" s="163">
      <c r="A760" s="97" t="n"/>
      <c r="B760" s="97" t="n"/>
      <c r="C760" s="97" t="n"/>
      <c r="D760" s="97" t="n"/>
      <c r="E760" s="97" t="n"/>
      <c r="F760" s="97" t="n"/>
    </row>
    <row r="761" ht="15.75" customHeight="1" s="163">
      <c r="A761" s="97" t="n"/>
      <c r="B761" s="97" t="n"/>
      <c r="C761" s="97" t="n"/>
      <c r="D761" s="97" t="n"/>
      <c r="E761" s="97" t="n"/>
      <c r="F761" s="97" t="n"/>
    </row>
    <row r="762" ht="15.75" customHeight="1" s="163">
      <c r="A762" s="97" t="n"/>
      <c r="B762" s="97" t="n"/>
      <c r="C762" s="97" t="n"/>
      <c r="D762" s="97" t="n"/>
      <c r="E762" s="97" t="n"/>
      <c r="F762" s="97" t="n"/>
    </row>
    <row r="763" ht="15.75" customHeight="1" s="163">
      <c r="A763" s="97" t="n"/>
      <c r="B763" s="97" t="n"/>
      <c r="C763" s="97" t="n"/>
      <c r="D763" s="97" t="n"/>
      <c r="E763" s="97" t="n"/>
      <c r="F763" s="97" t="n"/>
    </row>
    <row r="764" ht="15.75" customHeight="1" s="163">
      <c r="A764" s="97" t="n"/>
      <c r="B764" s="97" t="n"/>
      <c r="C764" s="97" t="n"/>
      <c r="D764" s="97" t="n"/>
      <c r="E764" s="97" t="n"/>
      <c r="F764" s="97" t="n"/>
    </row>
    <row r="765" ht="15.75" customHeight="1" s="163">
      <c r="A765" s="97" t="n"/>
      <c r="B765" s="97" t="n"/>
      <c r="C765" s="97" t="n"/>
      <c r="D765" s="97" t="n"/>
      <c r="E765" s="97" t="n"/>
      <c r="F765" s="97" t="n"/>
    </row>
    <row r="766" ht="15.75" customHeight="1" s="163">
      <c r="A766" s="97" t="n"/>
      <c r="B766" s="97" t="n"/>
      <c r="C766" s="97" t="n"/>
      <c r="D766" s="97" t="n"/>
      <c r="E766" s="97" t="n"/>
      <c r="F766" s="97" t="n"/>
    </row>
    <row r="767" ht="15.75" customHeight="1" s="163">
      <c r="A767" s="97" t="n"/>
      <c r="B767" s="97" t="n"/>
      <c r="C767" s="97" t="n"/>
      <c r="D767" s="97" t="n"/>
      <c r="E767" s="97" t="n"/>
      <c r="F767" s="97" t="n"/>
    </row>
    <row r="768" ht="15.75" customHeight="1" s="163">
      <c r="A768" s="97" t="n"/>
      <c r="B768" s="97" t="n"/>
      <c r="C768" s="97" t="n"/>
      <c r="D768" s="97" t="n"/>
      <c r="E768" s="97" t="n"/>
      <c r="F768" s="97" t="n"/>
    </row>
    <row r="769" ht="15.75" customHeight="1" s="163">
      <c r="A769" s="97" t="n"/>
      <c r="B769" s="97" t="n"/>
      <c r="C769" s="97" t="n"/>
      <c r="D769" s="97" t="n"/>
      <c r="E769" s="97" t="n"/>
      <c r="F769" s="97" t="n"/>
    </row>
    <row r="770" ht="15.75" customHeight="1" s="163">
      <c r="A770" s="97" t="n"/>
      <c r="B770" s="97" t="n"/>
      <c r="C770" s="97" t="n"/>
      <c r="D770" s="97" t="n"/>
      <c r="E770" s="97" t="n"/>
      <c r="F770" s="97" t="n"/>
    </row>
    <row r="771" ht="15.75" customHeight="1" s="163">
      <c r="A771" s="97" t="n"/>
      <c r="B771" s="97" t="n"/>
      <c r="C771" s="97" t="n"/>
      <c r="D771" s="97" t="n"/>
      <c r="E771" s="97" t="n"/>
      <c r="F771" s="97" t="n"/>
    </row>
    <row r="772" ht="15.75" customHeight="1" s="163">
      <c r="A772" s="97" t="n"/>
      <c r="B772" s="97" t="n"/>
      <c r="C772" s="97" t="n"/>
      <c r="D772" s="97" t="n"/>
      <c r="E772" s="97" t="n"/>
      <c r="F772" s="97" t="n"/>
    </row>
    <row r="773" ht="15.75" customHeight="1" s="163">
      <c r="A773" s="97" t="n"/>
      <c r="B773" s="97" t="n"/>
      <c r="C773" s="97" t="n"/>
      <c r="D773" s="97" t="n"/>
      <c r="E773" s="97" t="n"/>
      <c r="F773" s="97" t="n"/>
    </row>
    <row r="774" ht="15.75" customHeight="1" s="163">
      <c r="A774" s="97" t="n"/>
      <c r="B774" s="97" t="n"/>
      <c r="C774" s="97" t="n"/>
      <c r="D774" s="97" t="n"/>
      <c r="E774" s="97" t="n"/>
      <c r="F774" s="97" t="n"/>
    </row>
    <row r="775" ht="15.75" customHeight="1" s="163">
      <c r="A775" s="97" t="n"/>
      <c r="B775" s="97" t="n"/>
      <c r="C775" s="97" t="n"/>
      <c r="D775" s="97" t="n"/>
      <c r="E775" s="97" t="n"/>
      <c r="F775" s="97" t="n"/>
    </row>
    <row r="776" ht="15.75" customHeight="1" s="163">
      <c r="A776" s="97" t="n"/>
      <c r="B776" s="97" t="n"/>
      <c r="C776" s="97" t="n"/>
      <c r="D776" s="97" t="n"/>
      <c r="E776" s="97" t="n"/>
      <c r="F776" s="97" t="n"/>
    </row>
    <row r="777" ht="15.75" customHeight="1" s="163">
      <c r="A777" s="97" t="n"/>
      <c r="B777" s="97" t="n"/>
      <c r="C777" s="97" t="n"/>
      <c r="D777" s="97" t="n"/>
      <c r="E777" s="97" t="n"/>
      <c r="F777" s="97" t="n"/>
    </row>
    <row r="778" ht="15.75" customHeight="1" s="163">
      <c r="A778" s="97" t="n"/>
      <c r="B778" s="97" t="n"/>
      <c r="C778" s="97" t="n"/>
      <c r="D778" s="97" t="n"/>
      <c r="E778" s="97" t="n"/>
      <c r="F778" s="97" t="n"/>
    </row>
    <row r="779" ht="15.75" customHeight="1" s="163">
      <c r="A779" s="97" t="n"/>
      <c r="B779" s="97" t="n"/>
      <c r="C779" s="97" t="n"/>
      <c r="D779" s="97" t="n"/>
      <c r="E779" s="97" t="n"/>
      <c r="F779" s="97" t="n"/>
    </row>
    <row r="780" ht="15.75" customHeight="1" s="163">
      <c r="A780" s="97" t="n"/>
      <c r="B780" s="97" t="n"/>
      <c r="C780" s="97" t="n"/>
      <c r="D780" s="97" t="n"/>
      <c r="E780" s="97" t="n"/>
      <c r="F780" s="97" t="n"/>
    </row>
    <row r="781" ht="15.75" customHeight="1" s="163">
      <c r="A781" s="97" t="n"/>
      <c r="B781" s="97" t="n"/>
      <c r="C781" s="97" t="n"/>
      <c r="D781" s="97" t="n"/>
      <c r="E781" s="97" t="n"/>
      <c r="F781" s="97" t="n"/>
    </row>
    <row r="782" ht="15.75" customHeight="1" s="163">
      <c r="A782" s="97" t="n"/>
      <c r="B782" s="97" t="n"/>
      <c r="C782" s="97" t="n"/>
      <c r="D782" s="97" t="n"/>
      <c r="E782" s="97" t="n"/>
      <c r="F782" s="97" t="n"/>
    </row>
    <row r="783" ht="15.75" customHeight="1" s="163">
      <c r="A783" s="97" t="n"/>
      <c r="B783" s="97" t="n"/>
      <c r="C783" s="97" t="n"/>
      <c r="D783" s="97" t="n"/>
      <c r="E783" s="97" t="n"/>
      <c r="F783" s="97" t="n"/>
    </row>
    <row r="784" ht="15.75" customHeight="1" s="163">
      <c r="A784" s="97" t="n"/>
      <c r="B784" s="97" t="n"/>
      <c r="C784" s="97" t="n"/>
      <c r="D784" s="97" t="n"/>
      <c r="E784" s="97" t="n"/>
      <c r="F784" s="97" t="n"/>
    </row>
    <row r="785" ht="15.75" customHeight="1" s="163">
      <c r="A785" s="97" t="n"/>
      <c r="B785" s="97" t="n"/>
      <c r="C785" s="97" t="n"/>
      <c r="D785" s="97" t="n"/>
      <c r="E785" s="97" t="n"/>
      <c r="F785" s="97" t="n"/>
    </row>
    <row r="786" ht="15.75" customHeight="1" s="163">
      <c r="A786" s="97" t="n"/>
      <c r="B786" s="97" t="n"/>
      <c r="C786" s="97" t="n"/>
      <c r="D786" s="97" t="n"/>
      <c r="E786" s="97" t="n"/>
      <c r="F786" s="97" t="n"/>
    </row>
    <row r="787" ht="15.75" customHeight="1" s="163">
      <c r="A787" s="97" t="n"/>
      <c r="B787" s="97" t="n"/>
      <c r="C787" s="97" t="n"/>
      <c r="D787" s="97" t="n"/>
      <c r="E787" s="97" t="n"/>
      <c r="F787" s="97" t="n"/>
    </row>
    <row r="788" ht="15.75" customHeight="1" s="163">
      <c r="A788" s="97" t="n"/>
      <c r="B788" s="97" t="n"/>
      <c r="C788" s="97" t="n"/>
      <c r="D788" s="97" t="n"/>
      <c r="E788" s="97" t="n"/>
      <c r="F788" s="97" t="n"/>
    </row>
    <row r="789" ht="15.75" customHeight="1" s="163">
      <c r="A789" s="97" t="n"/>
      <c r="B789" s="97" t="n"/>
      <c r="C789" s="97" t="n"/>
      <c r="D789" s="97" t="n"/>
      <c r="E789" s="97" t="n"/>
      <c r="F789" s="97" t="n"/>
    </row>
    <row r="790" ht="15.75" customHeight="1" s="163">
      <c r="A790" s="97" t="n"/>
      <c r="B790" s="97" t="n"/>
      <c r="C790" s="97" t="n"/>
      <c r="D790" s="97" t="n"/>
      <c r="E790" s="97" t="n"/>
      <c r="F790" s="97" t="n"/>
    </row>
    <row r="791" ht="15.75" customHeight="1" s="163">
      <c r="A791" s="97" t="n"/>
      <c r="B791" s="97" t="n"/>
      <c r="C791" s="97" t="n"/>
      <c r="D791" s="97" t="n"/>
      <c r="E791" s="97" t="n"/>
      <c r="F791" s="97" t="n"/>
    </row>
    <row r="792" ht="15.75" customHeight="1" s="163">
      <c r="A792" s="97" t="n"/>
      <c r="B792" s="97" t="n"/>
      <c r="C792" s="97" t="n"/>
      <c r="D792" s="97" t="n"/>
      <c r="E792" s="97" t="n"/>
      <c r="F792" s="97" t="n"/>
    </row>
    <row r="793" ht="15.75" customHeight="1" s="163">
      <c r="A793" s="97" t="n"/>
      <c r="B793" s="97" t="n"/>
      <c r="C793" s="97" t="n"/>
      <c r="D793" s="97" t="n"/>
      <c r="E793" s="97" t="n"/>
      <c r="F793" s="97" t="n"/>
    </row>
    <row r="794" ht="15.75" customHeight="1" s="163">
      <c r="A794" s="97" t="n"/>
      <c r="B794" s="97" t="n"/>
      <c r="C794" s="97" t="n"/>
      <c r="D794" s="97" t="n"/>
      <c r="E794" s="97" t="n"/>
      <c r="F794" s="97" t="n"/>
    </row>
    <row r="795" ht="15.75" customHeight="1" s="163">
      <c r="A795" s="97" t="n"/>
      <c r="B795" s="97" t="n"/>
      <c r="C795" s="97" t="n"/>
      <c r="D795" s="97" t="n"/>
      <c r="E795" s="97" t="n"/>
      <c r="F795" s="97" t="n"/>
    </row>
    <row r="796" ht="15.75" customHeight="1" s="163">
      <c r="A796" s="97" t="n"/>
      <c r="B796" s="97" t="n"/>
      <c r="C796" s="97" t="n"/>
      <c r="D796" s="97" t="n"/>
      <c r="E796" s="97" t="n"/>
      <c r="F796" s="97" t="n"/>
    </row>
    <row r="797" ht="15.75" customHeight="1" s="163">
      <c r="A797" s="97" t="n"/>
      <c r="B797" s="97" t="n"/>
      <c r="C797" s="97" t="n"/>
      <c r="D797" s="97" t="n"/>
      <c r="E797" s="97" t="n"/>
      <c r="F797" s="97" t="n"/>
    </row>
    <row r="798" ht="15.75" customHeight="1" s="163">
      <c r="A798" s="97" t="n"/>
      <c r="B798" s="97" t="n"/>
      <c r="C798" s="97" t="n"/>
      <c r="D798" s="97" t="n"/>
      <c r="E798" s="97" t="n"/>
      <c r="F798" s="97" t="n"/>
    </row>
    <row r="799" ht="15.75" customHeight="1" s="163">
      <c r="A799" s="97" t="n"/>
      <c r="B799" s="97" t="n"/>
      <c r="C799" s="97" t="n"/>
      <c r="D799" s="97" t="n"/>
      <c r="E799" s="97" t="n"/>
      <c r="F799" s="97" t="n"/>
    </row>
    <row r="800" ht="15.75" customHeight="1" s="163">
      <c r="A800" s="97" t="n"/>
      <c r="B800" s="97" t="n"/>
      <c r="C800" s="97" t="n"/>
      <c r="D800" s="97" t="n"/>
      <c r="E800" s="97" t="n"/>
      <c r="F800" s="97" t="n"/>
    </row>
    <row r="801" ht="15.75" customHeight="1" s="163">
      <c r="A801" s="97" t="n"/>
      <c r="B801" s="97" t="n"/>
      <c r="C801" s="97" t="n"/>
      <c r="D801" s="97" t="n"/>
      <c r="E801" s="97" t="n"/>
      <c r="F801" s="97" t="n"/>
    </row>
    <row r="802" ht="15.75" customHeight="1" s="163">
      <c r="A802" s="97" t="n"/>
      <c r="B802" s="97" t="n"/>
      <c r="C802" s="97" t="n"/>
      <c r="D802" s="97" t="n"/>
      <c r="E802" s="97" t="n"/>
      <c r="F802" s="97" t="n"/>
    </row>
    <row r="803" ht="15.75" customHeight="1" s="163">
      <c r="A803" s="97" t="n"/>
      <c r="B803" s="97" t="n"/>
      <c r="C803" s="97" t="n"/>
      <c r="D803" s="97" t="n"/>
      <c r="E803" s="97" t="n"/>
      <c r="F803" s="97" t="n"/>
    </row>
    <row r="804" ht="15.75" customHeight="1" s="163">
      <c r="A804" s="97" t="n"/>
      <c r="B804" s="97" t="n"/>
      <c r="C804" s="97" t="n"/>
      <c r="D804" s="97" t="n"/>
      <c r="E804" s="97" t="n"/>
      <c r="F804" s="97" t="n"/>
    </row>
    <row r="805" ht="15.75" customHeight="1" s="163">
      <c r="A805" s="97" t="n"/>
      <c r="B805" s="97" t="n"/>
      <c r="C805" s="97" t="n"/>
      <c r="D805" s="97" t="n"/>
      <c r="E805" s="97" t="n"/>
      <c r="F805" s="97" t="n"/>
    </row>
    <row r="806" ht="15.75" customHeight="1" s="163">
      <c r="A806" s="97" t="n"/>
      <c r="B806" s="97" t="n"/>
      <c r="C806" s="97" t="n"/>
      <c r="D806" s="97" t="n"/>
      <c r="E806" s="97" t="n"/>
      <c r="F806" s="97" t="n"/>
    </row>
    <row r="807" ht="15.75" customHeight="1" s="163">
      <c r="A807" s="97" t="n"/>
      <c r="B807" s="97" t="n"/>
      <c r="C807" s="97" t="n"/>
      <c r="D807" s="97" t="n"/>
      <c r="E807" s="97" t="n"/>
      <c r="F807" s="97" t="n"/>
    </row>
    <row r="808" ht="15.75" customHeight="1" s="163">
      <c r="A808" s="97" t="n"/>
      <c r="B808" s="97" t="n"/>
      <c r="C808" s="97" t="n"/>
      <c r="D808" s="97" t="n"/>
      <c r="E808" s="97" t="n"/>
      <c r="F808" s="97" t="n"/>
    </row>
    <row r="809" ht="15.75" customHeight="1" s="163">
      <c r="A809" s="97" t="n"/>
      <c r="B809" s="97" t="n"/>
      <c r="C809" s="97" t="n"/>
      <c r="D809" s="97" t="n"/>
      <c r="E809" s="97" t="n"/>
      <c r="F809" s="97" t="n"/>
    </row>
    <row r="810" ht="15.75" customHeight="1" s="163">
      <c r="A810" s="97" t="n"/>
      <c r="B810" s="97" t="n"/>
      <c r="C810" s="97" t="n"/>
      <c r="D810" s="97" t="n"/>
      <c r="E810" s="97" t="n"/>
      <c r="F810" s="97" t="n"/>
    </row>
    <row r="811" ht="15.75" customHeight="1" s="163">
      <c r="A811" s="97" t="n"/>
      <c r="B811" s="97" t="n"/>
      <c r="C811" s="97" t="n"/>
      <c r="D811" s="97" t="n"/>
      <c r="E811" s="97" t="n"/>
      <c r="F811" s="97" t="n"/>
    </row>
    <row r="812" ht="15.75" customHeight="1" s="163">
      <c r="A812" s="97" t="n"/>
      <c r="B812" s="97" t="n"/>
      <c r="C812" s="97" t="n"/>
      <c r="D812" s="97" t="n"/>
      <c r="E812" s="97" t="n"/>
      <c r="F812" s="97" t="n"/>
    </row>
    <row r="813" ht="15.75" customHeight="1" s="163">
      <c r="A813" s="97" t="n"/>
      <c r="B813" s="97" t="n"/>
      <c r="C813" s="97" t="n"/>
      <c r="D813" s="97" t="n"/>
      <c r="E813" s="97" t="n"/>
      <c r="F813" s="97" t="n"/>
    </row>
    <row r="814" ht="15.75" customHeight="1" s="163">
      <c r="A814" s="97" t="n"/>
      <c r="B814" s="97" t="n"/>
      <c r="C814" s="97" t="n"/>
      <c r="D814" s="97" t="n"/>
      <c r="E814" s="97" t="n"/>
      <c r="F814" s="97" t="n"/>
    </row>
    <row r="815" ht="15.75" customHeight="1" s="163">
      <c r="A815" s="97" t="n"/>
      <c r="B815" s="97" t="n"/>
      <c r="C815" s="97" t="n"/>
      <c r="D815" s="97" t="n"/>
      <c r="E815" s="97" t="n"/>
      <c r="F815" s="97" t="n"/>
    </row>
    <row r="816" ht="15.75" customHeight="1" s="163">
      <c r="A816" s="97" t="n"/>
      <c r="B816" s="97" t="n"/>
      <c r="C816" s="97" t="n"/>
      <c r="D816" s="97" t="n"/>
      <c r="E816" s="97" t="n"/>
      <c r="F816" s="97" t="n"/>
    </row>
    <row r="817" ht="15.75" customHeight="1" s="163">
      <c r="A817" s="97" t="n"/>
      <c r="B817" s="97" t="n"/>
      <c r="C817" s="97" t="n"/>
      <c r="D817" s="97" t="n"/>
      <c r="E817" s="97" t="n"/>
      <c r="F817" s="97" t="n"/>
    </row>
    <row r="818" ht="15.75" customHeight="1" s="163">
      <c r="A818" s="97" t="n"/>
      <c r="B818" s="97" t="n"/>
      <c r="C818" s="97" t="n"/>
      <c r="D818" s="97" t="n"/>
      <c r="E818" s="97" t="n"/>
      <c r="F818" s="97" t="n"/>
    </row>
    <row r="819" ht="15.75" customHeight="1" s="163">
      <c r="A819" s="97" t="n"/>
      <c r="B819" s="97" t="n"/>
      <c r="C819" s="97" t="n"/>
      <c r="D819" s="97" t="n"/>
      <c r="E819" s="97" t="n"/>
      <c r="F819" s="97" t="n"/>
    </row>
    <row r="820" ht="15.75" customHeight="1" s="163">
      <c r="A820" s="97" t="n"/>
      <c r="B820" s="97" t="n"/>
      <c r="C820" s="97" t="n"/>
      <c r="D820" s="97" t="n"/>
      <c r="E820" s="97" t="n"/>
      <c r="F820" s="97" t="n"/>
    </row>
    <row r="821" ht="15.75" customHeight="1" s="163">
      <c r="A821" s="97" t="n"/>
      <c r="B821" s="97" t="n"/>
      <c r="C821" s="97" t="n"/>
      <c r="D821" s="97" t="n"/>
      <c r="E821" s="97" t="n"/>
      <c r="F821" s="97" t="n"/>
    </row>
    <row r="822" ht="15.75" customHeight="1" s="163">
      <c r="A822" s="97" t="n"/>
      <c r="B822" s="97" t="n"/>
      <c r="C822" s="97" t="n"/>
      <c r="D822" s="97" t="n"/>
      <c r="E822" s="97" t="n"/>
      <c r="F822" s="97" t="n"/>
    </row>
    <row r="823" ht="15.75" customHeight="1" s="163">
      <c r="A823" s="97" t="n"/>
      <c r="B823" s="97" t="n"/>
      <c r="C823" s="97" t="n"/>
      <c r="D823" s="97" t="n"/>
      <c r="E823" s="97" t="n"/>
      <c r="F823" s="97" t="n"/>
    </row>
    <row r="824" ht="15.75" customHeight="1" s="163">
      <c r="A824" s="97" t="n"/>
      <c r="B824" s="97" t="n"/>
      <c r="C824" s="97" t="n"/>
      <c r="D824" s="97" t="n"/>
      <c r="E824" s="97" t="n"/>
      <c r="F824" s="97" t="n"/>
    </row>
    <row r="825" ht="15.75" customHeight="1" s="163">
      <c r="A825" s="97" t="n"/>
      <c r="B825" s="97" t="n"/>
      <c r="C825" s="97" t="n"/>
      <c r="D825" s="97" t="n"/>
      <c r="E825" s="97" t="n"/>
      <c r="F825" s="97" t="n"/>
    </row>
    <row r="826" ht="15.75" customHeight="1" s="163">
      <c r="A826" s="97" t="n"/>
      <c r="B826" s="97" t="n"/>
      <c r="C826" s="97" t="n"/>
      <c r="D826" s="97" t="n"/>
      <c r="E826" s="97" t="n"/>
      <c r="F826" s="97" t="n"/>
    </row>
    <row r="827" ht="15.75" customHeight="1" s="163">
      <c r="A827" s="97" t="n"/>
      <c r="B827" s="97" t="n"/>
      <c r="C827" s="97" t="n"/>
      <c r="D827" s="97" t="n"/>
      <c r="E827" s="97" t="n"/>
      <c r="F827" s="97" t="n"/>
    </row>
    <row r="828" ht="15.75" customHeight="1" s="163">
      <c r="A828" s="97" t="n"/>
      <c r="B828" s="97" t="n"/>
      <c r="C828" s="97" t="n"/>
      <c r="D828" s="97" t="n"/>
      <c r="E828" s="97" t="n"/>
      <c r="F828" s="97" t="n"/>
    </row>
    <row r="829" ht="15.75" customHeight="1" s="163">
      <c r="A829" s="97" t="n"/>
      <c r="B829" s="97" t="n"/>
      <c r="C829" s="97" t="n"/>
      <c r="D829" s="97" t="n"/>
      <c r="E829" s="97" t="n"/>
      <c r="F829" s="97" t="n"/>
    </row>
    <row r="830" ht="15.75" customHeight="1" s="163">
      <c r="A830" s="97" t="n"/>
      <c r="B830" s="97" t="n"/>
      <c r="C830" s="97" t="n"/>
      <c r="D830" s="97" t="n"/>
      <c r="E830" s="97" t="n"/>
      <c r="F830" s="97" t="n"/>
    </row>
    <row r="831" ht="15.75" customHeight="1" s="163">
      <c r="A831" s="97" t="n"/>
      <c r="B831" s="97" t="n"/>
      <c r="C831" s="97" t="n"/>
      <c r="D831" s="97" t="n"/>
      <c r="E831" s="97" t="n"/>
      <c r="F831" s="97" t="n"/>
    </row>
    <row r="832" ht="15.75" customHeight="1" s="163">
      <c r="A832" s="97" t="n"/>
      <c r="B832" s="97" t="n"/>
      <c r="C832" s="97" t="n"/>
      <c r="D832" s="97" t="n"/>
      <c r="E832" s="97" t="n"/>
      <c r="F832" s="97" t="n"/>
    </row>
    <row r="833" ht="15.75" customHeight="1" s="163">
      <c r="A833" s="97" t="n"/>
      <c r="B833" s="97" t="n"/>
      <c r="C833" s="97" t="n"/>
      <c r="D833" s="97" t="n"/>
      <c r="E833" s="97" t="n"/>
      <c r="F833" s="97" t="n"/>
    </row>
    <row r="834" ht="15.75" customHeight="1" s="163">
      <c r="A834" s="97" t="n"/>
      <c r="B834" s="97" t="n"/>
      <c r="C834" s="97" t="n"/>
      <c r="D834" s="97" t="n"/>
      <c r="E834" s="97" t="n"/>
      <c r="F834" s="97" t="n"/>
    </row>
    <row r="835" ht="15.75" customHeight="1" s="163">
      <c r="A835" s="97" t="n"/>
      <c r="B835" s="97" t="n"/>
      <c r="C835" s="97" t="n"/>
      <c r="D835" s="97" t="n"/>
      <c r="E835" s="97" t="n"/>
      <c r="F835" s="97" t="n"/>
    </row>
    <row r="836" ht="15.75" customHeight="1" s="163">
      <c r="A836" s="97" t="n"/>
      <c r="B836" s="97" t="n"/>
      <c r="C836" s="97" t="n"/>
      <c r="D836" s="97" t="n"/>
      <c r="E836" s="97" t="n"/>
      <c r="F836" s="97" t="n"/>
    </row>
    <row r="837" ht="15.75" customHeight="1" s="163">
      <c r="A837" s="97" t="n"/>
      <c r="B837" s="97" t="n"/>
      <c r="C837" s="97" t="n"/>
      <c r="D837" s="97" t="n"/>
      <c r="E837" s="97" t="n"/>
      <c r="F837" s="97" t="n"/>
    </row>
    <row r="838" ht="15.75" customHeight="1" s="163">
      <c r="A838" s="97" t="n"/>
      <c r="B838" s="97" t="n"/>
      <c r="C838" s="97" t="n"/>
      <c r="D838" s="97" t="n"/>
      <c r="E838" s="97" t="n"/>
      <c r="F838" s="97" t="n"/>
    </row>
    <row r="839" ht="15.75" customHeight="1" s="163">
      <c r="A839" s="97" t="n"/>
      <c r="B839" s="97" t="n"/>
      <c r="C839" s="97" t="n"/>
      <c r="D839" s="97" t="n"/>
      <c r="E839" s="97" t="n"/>
      <c r="F839" s="97" t="n"/>
    </row>
    <row r="840" ht="15.75" customHeight="1" s="163">
      <c r="A840" s="97" t="n"/>
      <c r="B840" s="97" t="n"/>
      <c r="C840" s="97" t="n"/>
      <c r="D840" s="97" t="n"/>
      <c r="E840" s="97" t="n"/>
      <c r="F840" s="97" t="n"/>
    </row>
    <row r="841" ht="15.75" customHeight="1" s="163">
      <c r="A841" s="97" t="n"/>
      <c r="B841" s="97" t="n"/>
      <c r="C841" s="97" t="n"/>
      <c r="D841" s="97" t="n"/>
      <c r="E841" s="97" t="n"/>
      <c r="F841" s="97" t="n"/>
    </row>
    <row r="842" ht="15.75" customHeight="1" s="163">
      <c r="A842" s="97" t="n"/>
      <c r="B842" s="97" t="n"/>
      <c r="C842" s="97" t="n"/>
      <c r="D842" s="97" t="n"/>
      <c r="E842" s="97" t="n"/>
      <c r="F842" s="97" t="n"/>
    </row>
    <row r="843" ht="15.75" customHeight="1" s="163">
      <c r="A843" s="97" t="n"/>
      <c r="B843" s="97" t="n"/>
      <c r="C843" s="97" t="n"/>
      <c r="D843" s="97" t="n"/>
      <c r="E843" s="97" t="n"/>
      <c r="F843" s="97" t="n"/>
    </row>
    <row r="844" ht="15.75" customHeight="1" s="163">
      <c r="A844" s="97" t="n"/>
      <c r="B844" s="97" t="n"/>
      <c r="C844" s="97" t="n"/>
      <c r="D844" s="97" t="n"/>
      <c r="E844" s="97" t="n"/>
      <c r="F844" s="97" t="n"/>
    </row>
    <row r="845" ht="15.75" customHeight="1" s="163">
      <c r="A845" s="97" t="n"/>
      <c r="B845" s="97" t="n"/>
      <c r="C845" s="97" t="n"/>
      <c r="D845" s="97" t="n"/>
      <c r="E845" s="97" t="n"/>
      <c r="F845" s="97" t="n"/>
    </row>
    <row r="846" ht="15.75" customHeight="1" s="163">
      <c r="A846" s="97" t="n"/>
      <c r="B846" s="97" t="n"/>
      <c r="C846" s="97" t="n"/>
      <c r="D846" s="97" t="n"/>
      <c r="E846" s="97" t="n"/>
      <c r="F846" s="97" t="n"/>
    </row>
    <row r="847" ht="15.75" customHeight="1" s="163">
      <c r="A847" s="97" t="n"/>
      <c r="B847" s="97" t="n"/>
      <c r="C847" s="97" t="n"/>
      <c r="D847" s="97" t="n"/>
      <c r="E847" s="97" t="n"/>
      <c r="F847" s="97" t="n"/>
    </row>
    <row r="848" ht="15.75" customHeight="1" s="163">
      <c r="A848" s="97" t="n"/>
      <c r="B848" s="97" t="n"/>
      <c r="C848" s="97" t="n"/>
      <c r="D848" s="97" t="n"/>
      <c r="E848" s="97" t="n"/>
      <c r="F848" s="97" t="n"/>
    </row>
    <row r="849" ht="15.75" customHeight="1" s="163">
      <c r="A849" s="97" t="n"/>
      <c r="B849" s="97" t="n"/>
      <c r="C849" s="97" t="n"/>
      <c r="D849" s="97" t="n"/>
      <c r="E849" s="97" t="n"/>
      <c r="F849" s="97" t="n"/>
    </row>
    <row r="850" ht="15.75" customHeight="1" s="163">
      <c r="A850" s="97" t="n"/>
      <c r="B850" s="97" t="n"/>
      <c r="C850" s="97" t="n"/>
      <c r="D850" s="97" t="n"/>
      <c r="E850" s="97" t="n"/>
      <c r="F850" s="97" t="n"/>
    </row>
    <row r="851" ht="15.75" customHeight="1" s="163">
      <c r="A851" s="97" t="n"/>
      <c r="B851" s="97" t="n"/>
      <c r="C851" s="97" t="n"/>
      <c r="D851" s="97" t="n"/>
      <c r="E851" s="97" t="n"/>
      <c r="F851" s="97" t="n"/>
    </row>
    <row r="852" ht="15.75" customHeight="1" s="163">
      <c r="A852" s="97" t="n"/>
      <c r="B852" s="97" t="n"/>
      <c r="C852" s="97" t="n"/>
      <c r="D852" s="97" t="n"/>
      <c r="E852" s="97" t="n"/>
      <c r="F852" s="97" t="n"/>
    </row>
    <row r="853" ht="15.75" customHeight="1" s="163">
      <c r="A853" s="97" t="n"/>
      <c r="B853" s="97" t="n"/>
      <c r="C853" s="97" t="n"/>
      <c r="D853" s="97" t="n"/>
      <c r="E853" s="97" t="n"/>
      <c r="F853" s="97" t="n"/>
    </row>
    <row r="854" ht="15.75" customHeight="1" s="163">
      <c r="A854" s="97" t="n"/>
      <c r="B854" s="97" t="n"/>
      <c r="C854" s="97" t="n"/>
      <c r="D854" s="97" t="n"/>
      <c r="E854" s="97" t="n"/>
      <c r="F854" s="97" t="n"/>
    </row>
    <row r="855" ht="15.75" customHeight="1" s="163">
      <c r="A855" s="97" t="n"/>
      <c r="B855" s="97" t="n"/>
      <c r="C855" s="97" t="n"/>
      <c r="D855" s="97" t="n"/>
      <c r="E855" s="97" t="n"/>
      <c r="F855" s="97" t="n"/>
    </row>
    <row r="856" ht="15.75" customHeight="1" s="163">
      <c r="A856" s="97" t="n"/>
      <c r="B856" s="97" t="n"/>
      <c r="C856" s="97" t="n"/>
      <c r="D856" s="97" t="n"/>
      <c r="E856" s="97" t="n"/>
      <c r="F856" s="97" t="n"/>
    </row>
    <row r="857" ht="15.75" customHeight="1" s="163">
      <c r="A857" s="97" t="n"/>
      <c r="B857" s="97" t="n"/>
      <c r="C857" s="97" t="n"/>
      <c r="D857" s="97" t="n"/>
      <c r="E857" s="97" t="n"/>
      <c r="F857" s="97" t="n"/>
    </row>
    <row r="858" ht="15.75" customHeight="1" s="163">
      <c r="A858" s="97" t="n"/>
      <c r="B858" s="97" t="n"/>
      <c r="C858" s="97" t="n"/>
      <c r="D858" s="97" t="n"/>
      <c r="E858" s="97" t="n"/>
      <c r="F858" s="97" t="n"/>
    </row>
    <row r="859" ht="15.75" customHeight="1" s="163">
      <c r="A859" s="97" t="n"/>
      <c r="B859" s="97" t="n"/>
      <c r="C859" s="97" t="n"/>
      <c r="D859" s="97" t="n"/>
      <c r="E859" s="97" t="n"/>
      <c r="F859" s="97" t="n"/>
    </row>
    <row r="860" ht="15.75" customHeight="1" s="163">
      <c r="A860" s="97" t="n"/>
      <c r="B860" s="97" t="n"/>
      <c r="C860" s="97" t="n"/>
      <c r="D860" s="97" t="n"/>
      <c r="E860" s="97" t="n"/>
      <c r="F860" s="97" t="n"/>
    </row>
    <row r="861" ht="15.75" customHeight="1" s="163">
      <c r="A861" s="97" t="n"/>
      <c r="B861" s="97" t="n"/>
      <c r="C861" s="97" t="n"/>
      <c r="D861" s="97" t="n"/>
      <c r="E861" s="97" t="n"/>
      <c r="F861" s="97" t="n"/>
    </row>
    <row r="862" ht="15.75" customHeight="1" s="163">
      <c r="A862" s="97" t="n"/>
      <c r="B862" s="97" t="n"/>
      <c r="C862" s="97" t="n"/>
      <c r="D862" s="97" t="n"/>
      <c r="E862" s="97" t="n"/>
      <c r="F862" s="97" t="n"/>
    </row>
    <row r="863" ht="15.75" customHeight="1" s="163">
      <c r="A863" s="97" t="n"/>
      <c r="B863" s="97" t="n"/>
      <c r="C863" s="97" t="n"/>
      <c r="D863" s="97" t="n"/>
      <c r="E863" s="97" t="n"/>
      <c r="F863" s="97" t="n"/>
    </row>
    <row r="864" ht="15.75" customHeight="1" s="163">
      <c r="A864" s="97" t="n"/>
      <c r="B864" s="97" t="n"/>
      <c r="C864" s="97" t="n"/>
      <c r="D864" s="97" t="n"/>
      <c r="E864" s="97" t="n"/>
      <c r="F864" s="97" t="n"/>
    </row>
    <row r="865" ht="15.75" customHeight="1" s="163">
      <c r="A865" s="97" t="n"/>
      <c r="B865" s="97" t="n"/>
      <c r="C865" s="97" t="n"/>
      <c r="D865" s="97" t="n"/>
      <c r="E865" s="97" t="n"/>
      <c r="F865" s="97" t="n"/>
    </row>
    <row r="866" ht="15.75" customHeight="1" s="163">
      <c r="A866" s="97" t="n"/>
      <c r="B866" s="97" t="n"/>
      <c r="C866" s="97" t="n"/>
      <c r="D866" s="97" t="n"/>
      <c r="E866" s="97" t="n"/>
      <c r="F866" s="97" t="n"/>
    </row>
    <row r="867" ht="15.75" customHeight="1" s="163">
      <c r="A867" s="97" t="n"/>
      <c r="B867" s="97" t="n"/>
      <c r="C867" s="97" t="n"/>
      <c r="D867" s="97" t="n"/>
      <c r="E867" s="97" t="n"/>
      <c r="F867" s="97" t="n"/>
    </row>
    <row r="868" ht="15.75" customHeight="1" s="163">
      <c r="A868" s="97" t="n"/>
      <c r="B868" s="97" t="n"/>
      <c r="C868" s="97" t="n"/>
      <c r="D868" s="97" t="n"/>
      <c r="E868" s="97" t="n"/>
      <c r="F868" s="97" t="n"/>
    </row>
    <row r="869" ht="15.75" customHeight="1" s="163">
      <c r="A869" s="97" t="n"/>
      <c r="B869" s="97" t="n"/>
      <c r="C869" s="97" t="n"/>
      <c r="D869" s="97" t="n"/>
      <c r="E869" s="97" t="n"/>
      <c r="F869" s="97" t="n"/>
    </row>
    <row r="870" ht="15.75" customHeight="1" s="163">
      <c r="A870" s="97" t="n"/>
      <c r="B870" s="97" t="n"/>
      <c r="C870" s="97" t="n"/>
      <c r="D870" s="97" t="n"/>
      <c r="E870" s="97" t="n"/>
      <c r="F870" s="97" t="n"/>
    </row>
    <row r="871" ht="15.75" customHeight="1" s="163">
      <c r="A871" s="97" t="n"/>
      <c r="B871" s="97" t="n"/>
      <c r="C871" s="97" t="n"/>
      <c r="D871" s="97" t="n"/>
      <c r="E871" s="97" t="n"/>
      <c r="F871" s="97" t="n"/>
    </row>
    <row r="872" ht="15.75" customHeight="1" s="163">
      <c r="A872" s="97" t="n"/>
      <c r="B872" s="97" t="n"/>
      <c r="C872" s="97" t="n"/>
      <c r="D872" s="97" t="n"/>
      <c r="E872" s="97" t="n"/>
      <c r="F872" s="97" t="n"/>
    </row>
    <row r="873" ht="15.75" customHeight="1" s="163">
      <c r="A873" s="97" t="n"/>
      <c r="B873" s="97" t="n"/>
      <c r="C873" s="97" t="n"/>
      <c r="D873" s="97" t="n"/>
      <c r="E873" s="97" t="n"/>
      <c r="F873" s="97" t="n"/>
    </row>
    <row r="874" ht="15.75" customHeight="1" s="163">
      <c r="A874" s="97" t="n"/>
      <c r="B874" s="97" t="n"/>
      <c r="C874" s="97" t="n"/>
      <c r="D874" s="97" t="n"/>
      <c r="E874" s="97" t="n"/>
      <c r="F874" s="97" t="n"/>
    </row>
    <row r="875" ht="15.75" customHeight="1" s="163">
      <c r="A875" s="97" t="n"/>
      <c r="B875" s="97" t="n"/>
      <c r="C875" s="97" t="n"/>
      <c r="D875" s="97" t="n"/>
      <c r="E875" s="97" t="n"/>
      <c r="F875" s="97" t="n"/>
    </row>
    <row r="876" ht="15.75" customHeight="1" s="163">
      <c r="A876" s="97" t="n"/>
      <c r="B876" s="97" t="n"/>
      <c r="C876" s="97" t="n"/>
      <c r="D876" s="97" t="n"/>
      <c r="E876" s="97" t="n"/>
      <c r="F876" s="97" t="n"/>
    </row>
    <row r="877" ht="15.75" customHeight="1" s="163">
      <c r="A877" s="97" t="n"/>
      <c r="B877" s="97" t="n"/>
      <c r="C877" s="97" t="n"/>
      <c r="D877" s="97" t="n"/>
      <c r="E877" s="97" t="n"/>
      <c r="F877" s="97" t="n"/>
    </row>
    <row r="878" ht="15.75" customHeight="1" s="163">
      <c r="A878" s="97" t="n"/>
      <c r="B878" s="97" t="n"/>
      <c r="C878" s="97" t="n"/>
      <c r="D878" s="97" t="n"/>
      <c r="E878" s="97" t="n"/>
      <c r="F878" s="97" t="n"/>
    </row>
    <row r="879" ht="15.75" customHeight="1" s="163">
      <c r="A879" s="97" t="n"/>
      <c r="B879" s="97" t="n"/>
      <c r="C879" s="97" t="n"/>
      <c r="D879" s="97" t="n"/>
      <c r="E879" s="97" t="n"/>
      <c r="F879" s="97" t="n"/>
    </row>
    <row r="880" ht="15.75" customHeight="1" s="163">
      <c r="A880" s="97" t="n"/>
      <c r="B880" s="97" t="n"/>
      <c r="C880" s="97" t="n"/>
      <c r="D880" s="97" t="n"/>
      <c r="E880" s="97" t="n"/>
      <c r="F880" s="97" t="n"/>
    </row>
    <row r="881" ht="15.75" customHeight="1" s="163">
      <c r="A881" s="97" t="n"/>
      <c r="B881" s="97" t="n"/>
      <c r="C881" s="97" t="n"/>
      <c r="D881" s="97" t="n"/>
      <c r="E881" s="97" t="n"/>
      <c r="F881" s="97" t="n"/>
    </row>
    <row r="882" ht="15.75" customHeight="1" s="163">
      <c r="A882" s="97" t="n"/>
      <c r="B882" s="97" t="n"/>
      <c r="C882" s="97" t="n"/>
      <c r="D882" s="97" t="n"/>
      <c r="E882" s="97" t="n"/>
      <c r="F882" s="97" t="n"/>
    </row>
    <row r="883" ht="15.75" customHeight="1" s="163">
      <c r="A883" s="97" t="n"/>
      <c r="B883" s="97" t="n"/>
      <c r="C883" s="97" t="n"/>
      <c r="D883" s="97" t="n"/>
      <c r="E883" s="97" t="n"/>
      <c r="F883" s="97" t="n"/>
    </row>
    <row r="884" ht="15.75" customHeight="1" s="163">
      <c r="A884" s="97" t="n"/>
      <c r="B884" s="97" t="n"/>
      <c r="C884" s="97" t="n"/>
      <c r="D884" s="97" t="n"/>
      <c r="E884" s="97" t="n"/>
      <c r="F884" s="97" t="n"/>
    </row>
    <row r="885" ht="15.75" customHeight="1" s="163">
      <c r="A885" s="97" t="n"/>
      <c r="B885" s="97" t="n"/>
      <c r="C885" s="97" t="n"/>
      <c r="D885" s="97" t="n"/>
      <c r="E885" s="97" t="n"/>
      <c r="F885" s="97" t="n"/>
    </row>
    <row r="886" ht="15.75" customHeight="1" s="163">
      <c r="A886" s="97" t="n"/>
      <c r="B886" s="97" t="n"/>
      <c r="C886" s="97" t="n"/>
      <c r="D886" s="97" t="n"/>
      <c r="E886" s="97" t="n"/>
      <c r="F886" s="97" t="n"/>
    </row>
    <row r="887" ht="15.75" customHeight="1" s="163">
      <c r="A887" s="97" t="n"/>
      <c r="B887" s="97" t="n"/>
      <c r="C887" s="97" t="n"/>
      <c r="D887" s="97" t="n"/>
      <c r="E887" s="97" t="n"/>
      <c r="F887" s="97" t="n"/>
    </row>
    <row r="888" ht="15.75" customHeight="1" s="163">
      <c r="A888" s="97" t="n"/>
      <c r="B888" s="97" t="n"/>
      <c r="C888" s="97" t="n"/>
      <c r="D888" s="97" t="n"/>
      <c r="E888" s="97" t="n"/>
      <c r="F888" s="97" t="n"/>
    </row>
    <row r="889" ht="15.75" customHeight="1" s="163">
      <c r="A889" s="97" t="n"/>
      <c r="B889" s="97" t="n"/>
      <c r="C889" s="97" t="n"/>
      <c r="D889" s="97" t="n"/>
      <c r="E889" s="97" t="n"/>
      <c r="F889" s="97" t="n"/>
    </row>
    <row r="890" ht="15.75" customHeight="1" s="163">
      <c r="A890" s="97" t="n"/>
      <c r="B890" s="97" t="n"/>
      <c r="C890" s="97" t="n"/>
      <c r="D890" s="97" t="n"/>
      <c r="E890" s="97" t="n"/>
      <c r="F890" s="97" t="n"/>
    </row>
    <row r="891" ht="15.75" customHeight="1" s="163">
      <c r="A891" s="97" t="n"/>
      <c r="B891" s="97" t="n"/>
      <c r="C891" s="97" t="n"/>
      <c r="D891" s="97" t="n"/>
      <c r="E891" s="97" t="n"/>
      <c r="F891" s="97" t="n"/>
    </row>
    <row r="892" ht="15.75" customHeight="1" s="163">
      <c r="A892" s="97" t="n"/>
      <c r="B892" s="97" t="n"/>
      <c r="C892" s="97" t="n"/>
      <c r="D892" s="97" t="n"/>
      <c r="E892" s="97" t="n"/>
      <c r="F892" s="97" t="n"/>
    </row>
    <row r="893" ht="15.75" customHeight="1" s="163">
      <c r="A893" s="97" t="n"/>
      <c r="B893" s="97" t="n"/>
      <c r="C893" s="97" t="n"/>
      <c r="D893" s="97" t="n"/>
      <c r="E893" s="97" t="n"/>
      <c r="F893" s="97" t="n"/>
    </row>
    <row r="894" ht="15.75" customHeight="1" s="163">
      <c r="A894" s="97" t="n"/>
      <c r="B894" s="97" t="n"/>
      <c r="C894" s="97" t="n"/>
      <c r="D894" s="97" t="n"/>
      <c r="E894" s="97" t="n"/>
      <c r="F894" s="97" t="n"/>
    </row>
    <row r="895" ht="15.75" customHeight="1" s="163">
      <c r="A895" s="97" t="n"/>
      <c r="B895" s="97" t="n"/>
      <c r="C895" s="97" t="n"/>
      <c r="D895" s="97" t="n"/>
      <c r="E895" s="97" t="n"/>
      <c r="F895" s="97" t="n"/>
    </row>
    <row r="896" ht="15.75" customHeight="1" s="163">
      <c r="A896" s="97" t="n"/>
      <c r="B896" s="97" t="n"/>
      <c r="C896" s="97" t="n"/>
      <c r="D896" s="97" t="n"/>
      <c r="E896" s="97" t="n"/>
      <c r="F896" s="97" t="n"/>
    </row>
    <row r="897" ht="15.75" customHeight="1" s="163">
      <c r="A897" s="97" t="n"/>
      <c r="B897" s="97" t="n"/>
      <c r="C897" s="97" t="n"/>
      <c r="D897" s="97" t="n"/>
      <c r="E897" s="97" t="n"/>
      <c r="F897" s="97" t="n"/>
    </row>
    <row r="898" ht="15.75" customHeight="1" s="163">
      <c r="A898" s="97" t="n"/>
      <c r="B898" s="97" t="n"/>
      <c r="C898" s="97" t="n"/>
      <c r="D898" s="97" t="n"/>
      <c r="E898" s="97" t="n"/>
      <c r="F898" s="97" t="n"/>
    </row>
    <row r="899" ht="15.75" customHeight="1" s="163">
      <c r="A899" s="97" t="n"/>
      <c r="B899" s="97" t="n"/>
      <c r="C899" s="97" t="n"/>
      <c r="D899" s="97" t="n"/>
      <c r="E899" s="97" t="n"/>
      <c r="F899" s="97" t="n"/>
    </row>
    <row r="900" ht="15.75" customHeight="1" s="163">
      <c r="A900" s="97" t="n"/>
      <c r="B900" s="97" t="n"/>
      <c r="C900" s="97" t="n"/>
      <c r="D900" s="97" t="n"/>
      <c r="E900" s="97" t="n"/>
      <c r="F900" s="97" t="n"/>
    </row>
    <row r="901" ht="15.75" customHeight="1" s="163">
      <c r="A901" s="97" t="n"/>
      <c r="B901" s="97" t="n"/>
      <c r="C901" s="97" t="n"/>
      <c r="D901" s="97" t="n"/>
      <c r="E901" s="97" t="n"/>
      <c r="F901" s="97" t="n"/>
    </row>
    <row r="902" ht="15.75" customHeight="1" s="163">
      <c r="A902" s="97" t="n"/>
      <c r="B902" s="97" t="n"/>
      <c r="C902" s="97" t="n"/>
      <c r="D902" s="97" t="n"/>
      <c r="E902" s="97" t="n"/>
      <c r="F902" s="97" t="n"/>
    </row>
    <row r="903" ht="15.75" customHeight="1" s="163">
      <c r="A903" s="97" t="n"/>
      <c r="B903" s="97" t="n"/>
      <c r="C903" s="97" t="n"/>
      <c r="D903" s="97" t="n"/>
      <c r="E903" s="97" t="n"/>
      <c r="F903" s="97" t="n"/>
    </row>
    <row r="904" ht="15.75" customHeight="1" s="163">
      <c r="A904" s="97" t="n"/>
      <c r="B904" s="97" t="n"/>
      <c r="C904" s="97" t="n"/>
      <c r="D904" s="97" t="n"/>
      <c r="E904" s="97" t="n"/>
      <c r="F904" s="97" t="n"/>
    </row>
    <row r="905" ht="15.75" customHeight="1" s="163">
      <c r="A905" s="97" t="n"/>
      <c r="B905" s="97" t="n"/>
      <c r="C905" s="97" t="n"/>
      <c r="D905" s="97" t="n"/>
      <c r="E905" s="97" t="n"/>
      <c r="F905" s="97" t="n"/>
    </row>
    <row r="906" ht="15.75" customHeight="1" s="163">
      <c r="A906" s="97" t="n"/>
      <c r="B906" s="97" t="n"/>
      <c r="C906" s="97" t="n"/>
      <c r="D906" s="97" t="n"/>
      <c r="E906" s="97" t="n"/>
      <c r="F906" s="97" t="n"/>
    </row>
    <row r="907" ht="15.75" customHeight="1" s="163">
      <c r="A907" s="97" t="n"/>
      <c r="B907" s="97" t="n"/>
      <c r="C907" s="97" t="n"/>
      <c r="D907" s="97" t="n"/>
      <c r="E907" s="97" t="n"/>
      <c r="F907" s="97" t="n"/>
    </row>
    <row r="908" ht="15.75" customHeight="1" s="163">
      <c r="A908" s="97" t="n"/>
      <c r="B908" s="97" t="n"/>
      <c r="C908" s="97" t="n"/>
      <c r="D908" s="97" t="n"/>
      <c r="E908" s="97" t="n"/>
      <c r="F908" s="97" t="n"/>
    </row>
    <row r="909" ht="15.75" customHeight="1" s="163">
      <c r="A909" s="97" t="n"/>
      <c r="B909" s="97" t="n"/>
      <c r="C909" s="97" t="n"/>
      <c r="D909" s="97" t="n"/>
      <c r="E909" s="97" t="n"/>
      <c r="F909" s="97" t="n"/>
    </row>
    <row r="910" ht="15.75" customHeight="1" s="163">
      <c r="A910" s="97" t="n"/>
      <c r="B910" s="97" t="n"/>
      <c r="C910" s="97" t="n"/>
      <c r="D910" s="97" t="n"/>
      <c r="E910" s="97" t="n"/>
      <c r="F910" s="97" t="n"/>
    </row>
    <row r="911" ht="15.75" customHeight="1" s="163">
      <c r="A911" s="97" t="n"/>
      <c r="B911" s="97" t="n"/>
      <c r="C911" s="97" t="n"/>
      <c r="D911" s="97" t="n"/>
      <c r="E911" s="97" t="n"/>
      <c r="F911" s="97" t="n"/>
    </row>
    <row r="912" ht="15.75" customHeight="1" s="163">
      <c r="A912" s="97" t="n"/>
      <c r="B912" s="97" t="n"/>
      <c r="C912" s="97" t="n"/>
      <c r="D912" s="97" t="n"/>
      <c r="E912" s="97" t="n"/>
      <c r="F912" s="97" t="n"/>
    </row>
    <row r="913" ht="15.75" customHeight="1" s="163">
      <c r="A913" s="97" t="n"/>
      <c r="B913" s="97" t="n"/>
      <c r="C913" s="97" t="n"/>
      <c r="D913" s="97" t="n"/>
      <c r="E913" s="97" t="n"/>
      <c r="F913" s="97" t="n"/>
    </row>
    <row r="914" ht="15.75" customHeight="1" s="163">
      <c r="A914" s="97" t="n"/>
      <c r="B914" s="97" t="n"/>
      <c r="C914" s="97" t="n"/>
      <c r="D914" s="97" t="n"/>
      <c r="E914" s="97" t="n"/>
      <c r="F914" s="97" t="n"/>
    </row>
    <row r="915" ht="15.75" customHeight="1" s="163">
      <c r="A915" s="97" t="n"/>
      <c r="B915" s="97" t="n"/>
      <c r="C915" s="97" t="n"/>
      <c r="D915" s="97" t="n"/>
      <c r="E915" s="97" t="n"/>
      <c r="F915" s="97" t="n"/>
    </row>
    <row r="916" ht="15.75" customHeight="1" s="163">
      <c r="A916" s="97" t="n"/>
      <c r="B916" s="97" t="n"/>
      <c r="C916" s="97" t="n"/>
      <c r="D916" s="97" t="n"/>
      <c r="E916" s="97" t="n"/>
      <c r="F916" s="97" t="n"/>
    </row>
    <row r="917" ht="15.75" customHeight="1" s="163">
      <c r="A917" s="97" t="n"/>
      <c r="B917" s="97" t="n"/>
      <c r="C917" s="97" t="n"/>
      <c r="D917" s="97" t="n"/>
      <c r="E917" s="97" t="n"/>
      <c r="F917" s="97" t="n"/>
    </row>
    <row r="918" ht="15.75" customHeight="1" s="163">
      <c r="A918" s="97" t="n"/>
      <c r="B918" s="97" t="n"/>
      <c r="C918" s="97" t="n"/>
      <c r="D918" s="97" t="n"/>
      <c r="E918" s="97" t="n"/>
      <c r="F918" s="97" t="n"/>
    </row>
    <row r="919" ht="15.75" customHeight="1" s="163">
      <c r="A919" s="97" t="n"/>
      <c r="B919" s="97" t="n"/>
      <c r="C919" s="97" t="n"/>
      <c r="D919" s="97" t="n"/>
      <c r="E919" s="97" t="n"/>
      <c r="F919" s="97" t="n"/>
    </row>
    <row r="920" ht="15.75" customHeight="1" s="163">
      <c r="A920" s="97" t="n"/>
      <c r="B920" s="97" t="n"/>
      <c r="C920" s="97" t="n"/>
      <c r="D920" s="97" t="n"/>
      <c r="E920" s="97" t="n"/>
      <c r="F920" s="97" t="n"/>
    </row>
    <row r="921" ht="15.75" customHeight="1" s="163">
      <c r="A921" s="97" t="n"/>
      <c r="B921" s="97" t="n"/>
      <c r="C921" s="97" t="n"/>
      <c r="D921" s="97" t="n"/>
      <c r="E921" s="97" t="n"/>
      <c r="F921" s="97" t="n"/>
    </row>
    <row r="922" ht="15.75" customHeight="1" s="163">
      <c r="A922" s="97" t="n"/>
      <c r="B922" s="97" t="n"/>
      <c r="C922" s="97" t="n"/>
      <c r="D922" s="97" t="n"/>
      <c r="E922" s="97" t="n"/>
      <c r="F922" s="97" t="n"/>
    </row>
    <row r="923" ht="15.75" customHeight="1" s="163">
      <c r="A923" s="97" t="n"/>
      <c r="B923" s="97" t="n"/>
      <c r="C923" s="97" t="n"/>
      <c r="D923" s="97" t="n"/>
      <c r="E923" s="97" t="n"/>
      <c r="F923" s="97" t="n"/>
    </row>
    <row r="924" ht="15.75" customHeight="1" s="163">
      <c r="A924" s="97" t="n"/>
      <c r="B924" s="97" t="n"/>
      <c r="C924" s="97" t="n"/>
      <c r="D924" s="97" t="n"/>
      <c r="E924" s="97" t="n"/>
      <c r="F924" s="97" t="n"/>
    </row>
    <row r="925" ht="15.75" customHeight="1" s="163">
      <c r="A925" s="97" t="n"/>
      <c r="B925" s="97" t="n"/>
      <c r="C925" s="97" t="n"/>
      <c r="D925" s="97" t="n"/>
      <c r="E925" s="97" t="n"/>
      <c r="F925" s="97" t="n"/>
    </row>
    <row r="926" ht="15.75" customHeight="1" s="163">
      <c r="A926" s="97" t="n"/>
      <c r="B926" s="97" t="n"/>
      <c r="C926" s="97" t="n"/>
      <c r="D926" s="97" t="n"/>
      <c r="E926" s="97" t="n"/>
      <c r="F926" s="97" t="n"/>
    </row>
    <row r="927" ht="15.75" customHeight="1" s="163">
      <c r="A927" s="97" t="n"/>
      <c r="B927" s="97" t="n"/>
      <c r="C927" s="97" t="n"/>
      <c r="D927" s="97" t="n"/>
      <c r="E927" s="97" t="n"/>
      <c r="F927" s="97" t="n"/>
    </row>
    <row r="928" ht="15.75" customHeight="1" s="163">
      <c r="A928" s="97" t="n"/>
      <c r="B928" s="97" t="n"/>
      <c r="C928" s="97" t="n"/>
      <c r="D928" s="97" t="n"/>
      <c r="E928" s="97" t="n"/>
      <c r="F928" s="97" t="n"/>
    </row>
    <row r="929" ht="15.75" customHeight="1" s="163">
      <c r="A929" s="97" t="n"/>
      <c r="B929" s="97" t="n"/>
      <c r="C929" s="97" t="n"/>
      <c r="D929" s="97" t="n"/>
      <c r="E929" s="97" t="n"/>
      <c r="F929" s="97" t="n"/>
    </row>
    <row r="930" ht="15.75" customHeight="1" s="163">
      <c r="A930" s="97" t="n"/>
      <c r="B930" s="97" t="n"/>
      <c r="C930" s="97" t="n"/>
      <c r="D930" s="97" t="n"/>
      <c r="E930" s="97" t="n"/>
      <c r="F930" s="97" t="n"/>
    </row>
    <row r="931" ht="15.75" customHeight="1" s="163">
      <c r="A931" s="97" t="n"/>
      <c r="B931" s="97" t="n"/>
      <c r="C931" s="97" t="n"/>
      <c r="D931" s="97" t="n"/>
      <c r="E931" s="97" t="n"/>
      <c r="F931" s="97" t="n"/>
    </row>
    <row r="932" ht="15.75" customHeight="1" s="163">
      <c r="A932" s="97" t="n"/>
      <c r="B932" s="97" t="n"/>
      <c r="C932" s="97" t="n"/>
      <c r="D932" s="97" t="n"/>
      <c r="E932" s="97" t="n"/>
      <c r="F932" s="97" t="n"/>
    </row>
    <row r="933" ht="15.75" customHeight="1" s="163">
      <c r="A933" s="97" t="n"/>
      <c r="B933" s="97" t="n"/>
      <c r="C933" s="97" t="n"/>
      <c r="D933" s="97" t="n"/>
      <c r="E933" s="97" t="n"/>
      <c r="F933" s="97" t="n"/>
    </row>
    <row r="934" ht="15.75" customHeight="1" s="163">
      <c r="A934" s="97" t="n"/>
      <c r="B934" s="97" t="n"/>
      <c r="C934" s="97" t="n"/>
      <c r="D934" s="97" t="n"/>
      <c r="E934" s="97" t="n"/>
      <c r="F934" s="97" t="n"/>
    </row>
    <row r="935" ht="15.75" customHeight="1" s="163">
      <c r="A935" s="97" t="n"/>
      <c r="B935" s="97" t="n"/>
      <c r="C935" s="97" t="n"/>
      <c r="D935" s="97" t="n"/>
      <c r="E935" s="97" t="n"/>
      <c r="F935" s="97" t="n"/>
    </row>
    <row r="936" ht="15.75" customHeight="1" s="163">
      <c r="A936" s="97" t="n"/>
      <c r="B936" s="97" t="n"/>
      <c r="C936" s="97" t="n"/>
      <c r="D936" s="97" t="n"/>
      <c r="E936" s="97" t="n"/>
      <c r="F936" s="97" t="n"/>
    </row>
    <row r="937" ht="15.75" customHeight="1" s="163">
      <c r="A937" s="97" t="n"/>
      <c r="B937" s="97" t="n"/>
      <c r="C937" s="97" t="n"/>
      <c r="D937" s="97" t="n"/>
      <c r="E937" s="97" t="n"/>
      <c r="F937" s="97" t="n"/>
    </row>
    <row r="938" ht="15.75" customHeight="1" s="163">
      <c r="A938" s="97" t="n"/>
      <c r="B938" s="97" t="n"/>
      <c r="C938" s="97" t="n"/>
      <c r="D938" s="97" t="n"/>
      <c r="E938" s="97" t="n"/>
      <c r="F938" s="97" t="n"/>
    </row>
    <row r="939" ht="15.75" customHeight="1" s="163">
      <c r="A939" s="97" t="n"/>
      <c r="B939" s="97" t="n"/>
      <c r="C939" s="97" t="n"/>
      <c r="D939" s="97" t="n"/>
      <c r="E939" s="97" t="n"/>
      <c r="F939" s="97" t="n"/>
    </row>
    <row r="940" ht="15.75" customHeight="1" s="163">
      <c r="A940" s="97" t="n"/>
      <c r="B940" s="97" t="n"/>
      <c r="C940" s="97" t="n"/>
      <c r="D940" s="97" t="n"/>
      <c r="E940" s="97" t="n"/>
      <c r="F940" s="97" t="n"/>
    </row>
    <row r="941" ht="15.75" customHeight="1" s="163">
      <c r="A941" s="97" t="n"/>
      <c r="B941" s="97" t="n"/>
      <c r="C941" s="97" t="n"/>
      <c r="D941" s="97" t="n"/>
      <c r="E941" s="97" t="n"/>
      <c r="F941" s="97" t="n"/>
    </row>
    <row r="942" ht="15.75" customHeight="1" s="163">
      <c r="A942" s="97" t="n"/>
      <c r="B942" s="97" t="n"/>
      <c r="C942" s="97" t="n"/>
      <c r="D942" s="97" t="n"/>
      <c r="E942" s="97" t="n"/>
      <c r="F942" s="97" t="n"/>
    </row>
    <row r="943" ht="15.75" customHeight="1" s="163">
      <c r="A943" s="97" t="n"/>
      <c r="B943" s="97" t="n"/>
      <c r="C943" s="97" t="n"/>
      <c r="D943" s="97" t="n"/>
      <c r="E943" s="97" t="n"/>
      <c r="F943" s="97" t="n"/>
    </row>
    <row r="944" ht="15.75" customHeight="1" s="163">
      <c r="A944" s="97" t="n"/>
      <c r="B944" s="97" t="n"/>
      <c r="C944" s="97" t="n"/>
      <c r="D944" s="97" t="n"/>
      <c r="E944" s="97" t="n"/>
      <c r="F944" s="97" t="n"/>
    </row>
    <row r="945" ht="15.75" customHeight="1" s="163">
      <c r="A945" s="97" t="n"/>
      <c r="B945" s="97" t="n"/>
      <c r="C945" s="97" t="n"/>
      <c r="D945" s="97" t="n"/>
      <c r="E945" s="97" t="n"/>
      <c r="F945" s="97" t="n"/>
    </row>
    <row r="946" ht="15.75" customHeight="1" s="163">
      <c r="A946" s="97" t="n"/>
      <c r="B946" s="97" t="n"/>
      <c r="C946" s="97" t="n"/>
      <c r="D946" s="97" t="n"/>
      <c r="E946" s="97" t="n"/>
      <c r="F946" s="97" t="n"/>
    </row>
    <row r="947" ht="15.75" customHeight="1" s="163">
      <c r="A947" s="97" t="n"/>
      <c r="B947" s="97" t="n"/>
      <c r="C947" s="97" t="n"/>
      <c r="D947" s="97" t="n"/>
      <c r="E947" s="97" t="n"/>
      <c r="F947" s="97" t="n"/>
    </row>
    <row r="948" ht="15.75" customHeight="1" s="163">
      <c r="A948" s="97" t="n"/>
      <c r="B948" s="97" t="n"/>
      <c r="C948" s="97" t="n"/>
      <c r="D948" s="97" t="n"/>
      <c r="E948" s="97" t="n"/>
      <c r="F948" s="97" t="n"/>
    </row>
    <row r="949" ht="15.75" customHeight="1" s="163">
      <c r="A949" s="97" t="n"/>
      <c r="B949" s="97" t="n"/>
      <c r="C949" s="97" t="n"/>
      <c r="D949" s="97" t="n"/>
      <c r="E949" s="97" t="n"/>
      <c r="F949" s="97" t="n"/>
    </row>
    <row r="950" ht="15.75" customHeight="1" s="163">
      <c r="A950" s="97" t="n"/>
      <c r="B950" s="97" t="n"/>
      <c r="C950" s="97" t="n"/>
      <c r="D950" s="97" t="n"/>
      <c r="E950" s="97" t="n"/>
      <c r="F950" s="97" t="n"/>
    </row>
    <row r="951" ht="15.75" customHeight="1" s="163">
      <c r="A951" s="97" t="n"/>
      <c r="B951" s="97" t="n"/>
      <c r="C951" s="97" t="n"/>
      <c r="D951" s="97" t="n"/>
      <c r="E951" s="97" t="n"/>
      <c r="F951" s="97" t="n"/>
    </row>
    <row r="952" ht="15.75" customHeight="1" s="163">
      <c r="A952" s="97" t="n"/>
      <c r="B952" s="97" t="n"/>
      <c r="C952" s="97" t="n"/>
      <c r="D952" s="97" t="n"/>
      <c r="E952" s="97" t="n"/>
      <c r="F952" s="97" t="n"/>
    </row>
    <row r="953" ht="15.75" customHeight="1" s="163">
      <c r="A953" s="97" t="n"/>
      <c r="B953" s="97" t="n"/>
      <c r="C953" s="97" t="n"/>
      <c r="D953" s="97" t="n"/>
      <c r="E953" s="97" t="n"/>
      <c r="F953" s="97" t="n"/>
    </row>
    <row r="954" ht="15.75" customHeight="1" s="163">
      <c r="A954" s="97" t="n"/>
      <c r="B954" s="97" t="n"/>
      <c r="C954" s="97" t="n"/>
      <c r="D954" s="97" t="n"/>
      <c r="E954" s="97" t="n"/>
      <c r="F954" s="97" t="n"/>
    </row>
    <row r="955" ht="15.75" customHeight="1" s="163">
      <c r="A955" s="97" t="n"/>
      <c r="B955" s="97" t="n"/>
      <c r="C955" s="97" t="n"/>
      <c r="D955" s="97" t="n"/>
      <c r="E955" s="97" t="n"/>
      <c r="F955" s="97" t="n"/>
    </row>
    <row r="956" ht="15.75" customHeight="1" s="163">
      <c r="A956" s="97" t="n"/>
      <c r="B956" s="97" t="n"/>
      <c r="C956" s="97" t="n"/>
      <c r="D956" s="97" t="n"/>
      <c r="E956" s="97" t="n"/>
      <c r="F956" s="97" t="n"/>
    </row>
    <row r="957" ht="15.75" customHeight="1" s="163">
      <c r="A957" s="97" t="n"/>
      <c r="B957" s="97" t="n"/>
      <c r="C957" s="97" t="n"/>
      <c r="D957" s="97" t="n"/>
      <c r="E957" s="97" t="n"/>
      <c r="F957" s="97" t="n"/>
    </row>
    <row r="958" ht="15.75" customHeight="1" s="163">
      <c r="A958" s="97" t="n"/>
      <c r="B958" s="97" t="n"/>
      <c r="C958" s="97" t="n"/>
      <c r="D958" s="97" t="n"/>
      <c r="E958" s="97" t="n"/>
      <c r="F958" s="97" t="n"/>
    </row>
    <row r="959" ht="15.75" customHeight="1" s="163">
      <c r="A959" s="97" t="n"/>
      <c r="B959" s="97" t="n"/>
      <c r="C959" s="97" t="n"/>
      <c r="D959" s="97" t="n"/>
      <c r="E959" s="97" t="n"/>
      <c r="F959" s="97" t="n"/>
    </row>
    <row r="960" ht="15.75" customHeight="1" s="163">
      <c r="A960" s="97" t="n"/>
      <c r="B960" s="97" t="n"/>
      <c r="C960" s="97" t="n"/>
      <c r="D960" s="97" t="n"/>
      <c r="E960" s="97" t="n"/>
      <c r="F960" s="97" t="n"/>
    </row>
    <row r="961" ht="15.75" customHeight="1" s="163">
      <c r="A961" s="97" t="n"/>
      <c r="B961" s="97" t="n"/>
      <c r="C961" s="97" t="n"/>
      <c r="D961" s="97" t="n"/>
      <c r="E961" s="97" t="n"/>
      <c r="F961" s="97" t="n"/>
    </row>
    <row r="962" ht="15.75" customHeight="1" s="163">
      <c r="A962" s="97" t="n"/>
      <c r="B962" s="97" t="n"/>
      <c r="C962" s="97" t="n"/>
      <c r="D962" s="97" t="n"/>
      <c r="E962" s="97" t="n"/>
      <c r="F962" s="97" t="n"/>
    </row>
    <row r="963" ht="15.75" customHeight="1" s="163">
      <c r="A963" s="97" t="n"/>
      <c r="B963" s="97" t="n"/>
      <c r="C963" s="97" t="n"/>
      <c r="D963" s="97" t="n"/>
      <c r="E963" s="97" t="n"/>
      <c r="F963" s="97" t="n"/>
    </row>
    <row r="964" ht="15.75" customHeight="1" s="163">
      <c r="A964" s="97" t="n"/>
      <c r="B964" s="97" t="n"/>
      <c r="C964" s="97" t="n"/>
      <c r="D964" s="97" t="n"/>
      <c r="E964" s="97" t="n"/>
      <c r="F964" s="97" t="n"/>
    </row>
    <row r="965" ht="15.75" customHeight="1" s="163">
      <c r="A965" s="97" t="n"/>
      <c r="B965" s="97" t="n"/>
      <c r="C965" s="97" t="n"/>
      <c r="D965" s="97" t="n"/>
      <c r="E965" s="97" t="n"/>
      <c r="F965" s="97" t="n"/>
    </row>
    <row r="966" ht="15.75" customHeight="1" s="163">
      <c r="A966" s="97" t="n"/>
      <c r="B966" s="97" t="n"/>
      <c r="C966" s="97" t="n"/>
      <c r="D966" s="97" t="n"/>
      <c r="E966" s="97" t="n"/>
      <c r="F966" s="97" t="n"/>
    </row>
    <row r="967" ht="15.75" customHeight="1" s="163">
      <c r="A967" s="97" t="n"/>
      <c r="B967" s="97" t="n"/>
      <c r="C967" s="97" t="n"/>
      <c r="D967" s="97" t="n"/>
      <c r="E967" s="97" t="n"/>
      <c r="F967" s="97" t="n"/>
    </row>
    <row r="968" ht="15.75" customHeight="1" s="163">
      <c r="A968" s="97" t="n"/>
      <c r="B968" s="97" t="n"/>
      <c r="C968" s="97" t="n"/>
      <c r="D968" s="97" t="n"/>
      <c r="E968" s="97" t="n"/>
      <c r="F968" s="97" t="n"/>
    </row>
    <row r="969" ht="15.75" customHeight="1" s="163">
      <c r="A969" s="97" t="n"/>
      <c r="B969" s="97" t="n"/>
      <c r="C969" s="97" t="n"/>
      <c r="D969" s="97" t="n"/>
      <c r="E969" s="97" t="n"/>
      <c r="F969" s="97" t="n"/>
    </row>
    <row r="970" ht="15.75" customHeight="1" s="163">
      <c r="A970" s="97" t="n"/>
      <c r="B970" s="97" t="n"/>
      <c r="C970" s="97" t="n"/>
      <c r="D970" s="97" t="n"/>
      <c r="E970" s="97" t="n"/>
      <c r="F970" s="97" t="n"/>
    </row>
    <row r="971" ht="15.75" customHeight="1" s="163">
      <c r="A971" s="97" t="n"/>
      <c r="B971" s="97" t="n"/>
      <c r="C971" s="97" t="n"/>
      <c r="D971" s="97" t="n"/>
      <c r="E971" s="97" t="n"/>
      <c r="F971" s="97" t="n"/>
    </row>
    <row r="972" ht="15.75" customHeight="1" s="163">
      <c r="A972" s="97" t="n"/>
      <c r="B972" s="97" t="n"/>
      <c r="C972" s="97" t="n"/>
      <c r="D972" s="97" t="n"/>
      <c r="E972" s="97" t="n"/>
      <c r="F972" s="97" t="n"/>
    </row>
    <row r="973" ht="15.75" customHeight="1" s="163">
      <c r="A973" s="97" t="n"/>
      <c r="B973" s="97" t="n"/>
      <c r="C973" s="97" t="n"/>
      <c r="D973" s="97" t="n"/>
      <c r="E973" s="97" t="n"/>
      <c r="F973" s="97" t="n"/>
    </row>
    <row r="974" ht="15.75" customHeight="1" s="163">
      <c r="A974" s="97" t="n"/>
      <c r="B974" s="97" t="n"/>
      <c r="C974" s="97" t="n"/>
      <c r="D974" s="97" t="n"/>
      <c r="E974" s="97" t="n"/>
      <c r="F974" s="97" t="n"/>
    </row>
    <row r="975" ht="15.75" customHeight="1" s="163">
      <c r="A975" s="97" t="n"/>
      <c r="B975" s="97" t="n"/>
      <c r="C975" s="97" t="n"/>
      <c r="D975" s="97" t="n"/>
      <c r="E975" s="97" t="n"/>
      <c r="F975" s="97" t="n"/>
    </row>
    <row r="976" ht="15.75" customHeight="1" s="163">
      <c r="A976" s="97" t="n"/>
      <c r="B976" s="97" t="n"/>
      <c r="C976" s="97" t="n"/>
      <c r="D976" s="97" t="n"/>
      <c r="E976" s="97" t="n"/>
      <c r="F976" s="97" t="n"/>
    </row>
    <row r="977" ht="15.75" customHeight="1" s="163">
      <c r="A977" s="97" t="n"/>
      <c r="B977" s="97" t="n"/>
      <c r="C977" s="97" t="n"/>
      <c r="D977" s="97" t="n"/>
      <c r="E977" s="97" t="n"/>
      <c r="F977" s="97" t="n"/>
    </row>
    <row r="978" ht="15.75" customHeight="1" s="163">
      <c r="A978" s="97" t="n"/>
      <c r="B978" s="97" t="n"/>
      <c r="C978" s="97" t="n"/>
      <c r="D978" s="97" t="n"/>
      <c r="E978" s="97" t="n"/>
      <c r="F978" s="97" t="n"/>
    </row>
    <row r="979" ht="15.75" customHeight="1" s="163">
      <c r="A979" s="97" t="n"/>
      <c r="B979" s="97" t="n"/>
      <c r="C979" s="97" t="n"/>
      <c r="D979" s="97" t="n"/>
      <c r="E979" s="97" t="n"/>
      <c r="F979" s="97" t="n"/>
    </row>
    <row r="980" ht="15.75" customHeight="1" s="163">
      <c r="A980" s="97" t="n"/>
      <c r="B980" s="97" t="n"/>
      <c r="C980" s="97" t="n"/>
      <c r="D980" s="97" t="n"/>
      <c r="E980" s="97" t="n"/>
      <c r="F980" s="97" t="n"/>
    </row>
    <row r="981" ht="15.75" customHeight="1" s="163">
      <c r="A981" s="97" t="n"/>
      <c r="B981" s="97" t="n"/>
      <c r="C981" s="97" t="n"/>
      <c r="D981" s="97" t="n"/>
      <c r="E981" s="97" t="n"/>
      <c r="F981" s="97" t="n"/>
    </row>
    <row r="982" ht="15.75" customHeight="1" s="163">
      <c r="A982" s="97" t="n"/>
      <c r="B982" s="97" t="n"/>
      <c r="C982" s="97" t="n"/>
      <c r="D982" s="97" t="n"/>
      <c r="E982" s="97" t="n"/>
      <c r="F982" s="97" t="n"/>
    </row>
    <row r="983" ht="15.75" customHeight="1" s="163">
      <c r="A983" s="97" t="n"/>
      <c r="B983" s="97" t="n"/>
      <c r="C983" s="97" t="n"/>
      <c r="D983" s="97" t="n"/>
      <c r="E983" s="97" t="n"/>
      <c r="F983" s="97" t="n"/>
    </row>
    <row r="984" ht="15.75" customHeight="1" s="163">
      <c r="A984" s="97" t="n"/>
      <c r="B984" s="97" t="n"/>
      <c r="C984" s="97" t="n"/>
      <c r="D984" s="97" t="n"/>
      <c r="E984" s="97" t="n"/>
      <c r="F984" s="97" t="n"/>
    </row>
    <row r="985" ht="15.75" customHeight="1" s="163">
      <c r="A985" s="97" t="n"/>
      <c r="B985" s="97" t="n"/>
      <c r="C985" s="97" t="n"/>
      <c r="D985" s="97" t="n"/>
      <c r="E985" s="97" t="n"/>
      <c r="F985" s="97" t="n"/>
    </row>
    <row r="986" ht="15.75" customHeight="1" s="163">
      <c r="A986" s="97" t="n"/>
      <c r="B986" s="97" t="n"/>
      <c r="C986" s="97" t="n"/>
      <c r="D986" s="97" t="n"/>
      <c r="E986" s="97" t="n"/>
      <c r="F986" s="97" t="n"/>
    </row>
    <row r="987" ht="15.75" customHeight="1" s="163">
      <c r="A987" s="97" t="n"/>
      <c r="B987" s="97" t="n"/>
      <c r="C987" s="97" t="n"/>
      <c r="D987" s="97" t="n"/>
      <c r="E987" s="97" t="n"/>
      <c r="F987" s="97" t="n"/>
    </row>
    <row r="988" ht="15.75" customHeight="1" s="163">
      <c r="A988" s="97" t="n"/>
      <c r="B988" s="97" t="n"/>
      <c r="C988" s="97" t="n"/>
      <c r="D988" s="97" t="n"/>
      <c r="E988" s="97" t="n"/>
      <c r="F988" s="97" t="n"/>
    </row>
    <row r="989" ht="15.75" customHeight="1" s="163">
      <c r="A989" s="97" t="n"/>
      <c r="B989" s="97" t="n"/>
      <c r="C989" s="97" t="n"/>
      <c r="D989" s="97" t="n"/>
      <c r="E989" s="97" t="n"/>
      <c r="F989" s="97" t="n"/>
    </row>
    <row r="990" ht="15.75" customHeight="1" s="163">
      <c r="A990" s="97" t="n"/>
      <c r="B990" s="97" t="n"/>
      <c r="C990" s="97" t="n"/>
      <c r="D990" s="97" t="n"/>
      <c r="E990" s="97" t="n"/>
      <c r="F990" s="97" t="n"/>
    </row>
    <row r="991" ht="15.75" customHeight="1" s="163">
      <c r="A991" s="97" t="n"/>
      <c r="B991" s="97" t="n"/>
      <c r="C991" s="97" t="n"/>
      <c r="D991" s="97" t="n"/>
      <c r="E991" s="97" t="n"/>
      <c r="F991" s="97" t="n"/>
    </row>
    <row r="992" ht="15.75" customHeight="1" s="163">
      <c r="A992" s="97" t="n"/>
      <c r="B992" s="97" t="n"/>
      <c r="C992" s="97" t="n"/>
      <c r="D992" s="97" t="n"/>
      <c r="E992" s="97" t="n"/>
      <c r="F992" s="97" t="n"/>
    </row>
    <row r="993" ht="15.75" customHeight="1" s="163">
      <c r="A993" s="97" t="n"/>
      <c r="B993" s="97" t="n"/>
      <c r="C993" s="97" t="n"/>
      <c r="D993" s="97" t="n"/>
      <c r="E993" s="97" t="n"/>
      <c r="F993" s="97" t="n"/>
    </row>
    <row r="994" ht="15.75" customHeight="1" s="163">
      <c r="A994" s="97" t="n"/>
      <c r="B994" s="97" t="n"/>
      <c r="C994" s="97" t="n"/>
      <c r="D994" s="97" t="n"/>
      <c r="E994" s="97" t="n"/>
      <c r="F994" s="97" t="n"/>
    </row>
    <row r="995" ht="15.75" customHeight="1" s="163">
      <c r="A995" s="97" t="n"/>
      <c r="B995" s="97" t="n"/>
      <c r="C995" s="97" t="n"/>
      <c r="D995" s="97" t="n"/>
      <c r="E995" s="97" t="n"/>
      <c r="F995" s="97" t="n"/>
    </row>
    <row r="996" ht="15.75" customHeight="1" s="163">
      <c r="A996" s="97" t="n"/>
      <c r="B996" s="97" t="n"/>
      <c r="C996" s="97" t="n"/>
      <c r="D996" s="97" t="n"/>
      <c r="E996" s="97" t="n"/>
      <c r="F996" s="97" t="n"/>
    </row>
    <row r="997" ht="15.75" customHeight="1" s="163">
      <c r="A997" s="97" t="n"/>
      <c r="B997" s="97" t="n"/>
      <c r="C997" s="97" t="n"/>
      <c r="D997" s="97" t="n"/>
      <c r="E997" s="97" t="n"/>
      <c r="F997" s="97" t="n"/>
    </row>
    <row r="998" ht="15.75" customHeight="1" s="163">
      <c r="A998" s="97" t="n"/>
      <c r="B998" s="97" t="n"/>
      <c r="C998" s="97" t="n"/>
      <c r="D998" s="97" t="n"/>
      <c r="E998" s="97" t="n"/>
      <c r="F998" s="97" t="n"/>
    </row>
    <row r="999" ht="15.75" customHeight="1" s="163">
      <c r="A999" s="97" t="n"/>
      <c r="B999" s="97" t="n"/>
      <c r="C999" s="97" t="n"/>
      <c r="D999" s="97" t="n"/>
      <c r="E999" s="97" t="n"/>
      <c r="F999" s="97" t="n"/>
    </row>
    <row r="1000" ht="15.75" customHeight="1" s="163">
      <c r="A1000" s="97" t="n"/>
      <c r="B1000" s="97" t="n"/>
      <c r="C1000" s="97" t="n"/>
      <c r="D1000" s="97" t="n"/>
      <c r="E1000" s="97" t="n"/>
      <c r="F1000" s="97" t="n"/>
    </row>
  </sheetData>
  <mergeCells count="31">
    <mergeCell ref="AL50:BA51"/>
    <mergeCell ref="A1:P9"/>
    <mergeCell ref="B50:Q51"/>
    <mergeCell ref="B26:Q27"/>
    <mergeCell ref="T10:AI11"/>
    <mergeCell ref="B18:Q19"/>
    <mergeCell ref="T74:AI75"/>
    <mergeCell ref="B42:Q43"/>
    <mergeCell ref="T50:AI51"/>
    <mergeCell ref="B58:Q59"/>
    <mergeCell ref="T58:AI59"/>
    <mergeCell ref="AL26:BA27"/>
    <mergeCell ref="AL66:BA67"/>
    <mergeCell ref="T26:AI27"/>
    <mergeCell ref="BB26:BC81"/>
    <mergeCell ref="B34:Q35"/>
    <mergeCell ref="R26:S81"/>
    <mergeCell ref="B10:Q11"/>
    <mergeCell ref="AL58:BA59"/>
    <mergeCell ref="AL18:BA19"/>
    <mergeCell ref="T66:AI67"/>
    <mergeCell ref="B74:Q75"/>
    <mergeCell ref="AL42:BA43"/>
    <mergeCell ref="T34:AI35"/>
    <mergeCell ref="AJ26:AK81"/>
    <mergeCell ref="AL74:BA75"/>
    <mergeCell ref="AL10:BA11"/>
    <mergeCell ref="B66:Q67"/>
    <mergeCell ref="AL34:BA35"/>
    <mergeCell ref="T42:AI43"/>
    <mergeCell ref="T18:AI19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2026-06-25T11:14:19Z</dcterms:created>
  <dcterms:modified xmlns:dcterms="http://purl.org/dc/terms/" xmlns:xsi="http://www.w3.org/2001/XMLSchema-instance" xsi:type="dcterms:W3CDTF">2026-06-25T11:14:20Z</dcterms:modified>
</cp:coreProperties>
</file>